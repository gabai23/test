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2.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drawings/drawing1.xml" ContentType="application/vnd.openxmlformats-officedocument.drawing+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スケジュール" sheetId="1" state="visible" r:id="rId2"/>
    <sheet name="クラス名" sheetId="2" state="visible" r:id="rId3"/>
  </sheets>
  <definedNames>
    <definedName function="false" hidden="true" localSheetId="1" name="_xlnm._FilterDatabase" vbProcedure="false">クラス名!$A$1:$M$62</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<sst xmlns="http://schemas.openxmlformats.org/spreadsheetml/2006/main" count="578" uniqueCount="330">
  <si>
    <t xml:space="preserve">スケジュール</t>
  </si>
  <si>
    <t xml:space="preserve">チーム目標 実装日数</t>
  </si>
  <si>
    <r>
      <rPr>
        <sz val="11"/>
        <rFont val="MS PGothic"/>
        <family val="0"/>
        <charset val="1"/>
      </rPr>
      <t xml:space="preserve">機能実装→</t>
    </r>
    <r>
      <rPr>
        <sz val="11"/>
        <rFont val="Cambria"/>
        <family val="0"/>
        <charset val="1"/>
      </rPr>
      <t xml:space="preserve">4/15</t>
    </r>
    <r>
      <rPr>
        <sz val="11"/>
        <rFont val="MS PGothic"/>
        <family val="0"/>
        <charset val="1"/>
      </rPr>
      <t xml:space="preserve">（火）迄</t>
    </r>
  </si>
  <si>
    <r>
      <rPr>
        <sz val="11"/>
        <rFont val="MS PGothic"/>
        <family val="0"/>
        <charset val="1"/>
      </rPr>
      <t xml:space="preserve">画面実装→</t>
    </r>
    <r>
      <rPr>
        <sz val="11"/>
        <rFont val="Cambria"/>
        <family val="0"/>
        <charset val="1"/>
      </rPr>
      <t xml:space="preserve">4/22</t>
    </r>
    <r>
      <rPr>
        <sz val="11"/>
        <rFont val="MS PGothic"/>
        <family val="0"/>
        <charset val="1"/>
      </rPr>
      <t xml:space="preserve">（火）迄</t>
    </r>
  </si>
  <si>
    <t xml:space="preserve">5月</t>
  </si>
  <si>
    <t xml:space="preserve">No.</t>
  </si>
  <si>
    <t xml:space="preserve">分類</t>
  </si>
  <si>
    <t xml:space="preserve">フェーズ</t>
  </si>
  <si>
    <t xml:space="preserve">項目分類</t>
  </si>
  <si>
    <t xml:space="preserve">作業項目</t>
  </si>
  <si>
    <t xml:space="preserve">担当者</t>
  </si>
  <si>
    <t xml:space="preserve">担当G</t>
  </si>
  <si>
    <t xml:space="preserve">状況</t>
  </si>
  <si>
    <t xml:space="preserve">進捗率</t>
  </si>
  <si>
    <t xml:space="preserve">開始予定</t>
  </si>
  <si>
    <t xml:space="preserve">終了予定</t>
  </si>
  <si>
    <t xml:space="preserve">期間</t>
  </si>
  <si>
    <t xml:space="preserve">残日数</t>
  </si>
  <si>
    <t xml:space="preserve">開始実績</t>
  </si>
  <si>
    <t xml:space="preserve">終了実績</t>
  </si>
  <si>
    <t xml:space="preserve">ECサイト作成</t>
  </si>
  <si>
    <t xml:space="preserve">-</t>
  </si>
  <si>
    <t xml:space="preserve">実装</t>
  </si>
  <si>
    <t xml:space="preserve">機能実装</t>
  </si>
  <si>
    <t xml:space="preserve">必須</t>
  </si>
  <si>
    <t xml:space="preserve">ログイン認証機能</t>
  </si>
  <si>
    <t xml:space="preserve">北山</t>
  </si>
  <si>
    <t xml:space="preserve">登録G</t>
  </si>
  <si>
    <t xml:space="preserve">進行中</t>
  </si>
  <si>
    <t xml:space="preserve">ユーザ登録機能</t>
  </si>
  <si>
    <t xml:space="preserve">齋藤</t>
  </si>
  <si>
    <t xml:space="preserve">パスワード再設定機能</t>
  </si>
  <si>
    <t xml:space="preserve">中川</t>
  </si>
  <si>
    <t xml:space="preserve">管理者画面機能</t>
  </si>
  <si>
    <t xml:space="preserve">管理G</t>
  </si>
  <si>
    <t xml:space="preserve">マイページ機能</t>
  </si>
  <si>
    <t xml:space="preserve">宛先情報登録機能</t>
  </si>
  <si>
    <t xml:space="preserve">細田</t>
  </si>
  <si>
    <t xml:space="preserve">仮ユーザーID発行</t>
  </si>
  <si>
    <t xml:space="preserve">和田</t>
  </si>
  <si>
    <t xml:space="preserve">商品購入履歴機能</t>
  </si>
  <si>
    <t xml:space="preserve">鮎川</t>
  </si>
  <si>
    <t xml:space="preserve">カート機能</t>
  </si>
  <si>
    <t xml:space="preserve">山内</t>
  </si>
  <si>
    <t xml:space="preserve">決済機能</t>
  </si>
  <si>
    <t xml:space="preserve">商品一覧機能</t>
  </si>
  <si>
    <t xml:space="preserve">菅野</t>
  </si>
  <si>
    <t xml:space="preserve">商品G</t>
  </si>
  <si>
    <t xml:space="preserve">商品詳細機能</t>
  </si>
  <si>
    <t xml:space="preserve">商品検索機能</t>
  </si>
  <si>
    <t xml:space="preserve">商品宛先情報選択機能</t>
  </si>
  <si>
    <t xml:space="preserve">クリエイトバーガー機能</t>
  </si>
  <si>
    <t xml:space="preserve">和田・細田</t>
  </si>
  <si>
    <t xml:space="preserve">画面実装</t>
  </si>
  <si>
    <t xml:space="preserve">Home画面</t>
  </si>
  <si>
    <t xml:space="preserve">未着手</t>
  </si>
  <si>
    <t xml:space="preserve">ログイン画面</t>
  </si>
  <si>
    <t xml:space="preserve">ユーザー情報入力画面</t>
  </si>
  <si>
    <t xml:space="preserve">ユーザー情報確認画面</t>
  </si>
  <si>
    <t xml:space="preserve">ユーザー情報完了画面</t>
  </si>
  <si>
    <t xml:space="preserve">パスワード再設定画面</t>
  </si>
  <si>
    <t xml:space="preserve">パスワード確認画面</t>
  </si>
  <si>
    <t xml:space="preserve">パスワード完了画面</t>
  </si>
  <si>
    <t xml:space="preserve">管理者画面</t>
  </si>
  <si>
    <t xml:space="preserve">商品管理画面</t>
  </si>
  <si>
    <t xml:space="preserve">任意</t>
  </si>
  <si>
    <t xml:space="preserve">商品仕入れ確認画面</t>
  </si>
  <si>
    <t xml:space="preserve">商品仕入れ完了画面</t>
  </si>
  <si>
    <t xml:space="preserve">新商品追加確認画面</t>
  </si>
  <si>
    <t xml:space="preserve">新商品追加完了画面</t>
  </si>
  <si>
    <t xml:space="preserve">マイページ画面</t>
  </si>
  <si>
    <t xml:space="preserve">宛先情報入力画面</t>
  </si>
  <si>
    <t xml:space="preserve">宛先情報確認画面</t>
  </si>
  <si>
    <t xml:space="preserve">宛先情報完了画面</t>
  </si>
  <si>
    <t xml:space="preserve">購入履歴画面</t>
  </si>
  <si>
    <t xml:space="preserve">購入履歴詳細画面</t>
  </si>
  <si>
    <t xml:space="preserve">カート画面</t>
  </si>
  <si>
    <t xml:space="preserve">決済確認画面</t>
  </si>
  <si>
    <t xml:space="preserve">決済完了画面</t>
  </si>
  <si>
    <t xml:space="preserve">商品一覧画面</t>
  </si>
  <si>
    <t xml:space="preserve">商品詳細画面</t>
  </si>
  <si>
    <t xml:space="preserve">デザイン</t>
  </si>
  <si>
    <t xml:space="preserve">ワイヤーフレーム</t>
  </si>
  <si>
    <t xml:space="preserve">全員</t>
  </si>
  <si>
    <t xml:space="preserve">デザインカンプ</t>
  </si>
  <si>
    <t xml:space="preserve">デバック</t>
  </si>
  <si>
    <t xml:space="preserve">責任者：細田</t>
  </si>
  <si>
    <t xml:space="preserve">打ち合わせ</t>
  </si>
  <si>
    <t xml:space="preserve">レイアウト会議（ワイヤーフレーム）</t>
  </si>
  <si>
    <t xml:space="preserve">何かの打ち合わせ</t>
  </si>
  <si>
    <t xml:space="preserve">随時</t>
  </si>
  <si>
    <t xml:space="preserve">単体テスト</t>
  </si>
  <si>
    <t xml:space="preserve">ケース作成</t>
  </si>
  <si>
    <t xml:space="preserve">テスト実施</t>
  </si>
  <si>
    <t xml:space="preserve">シナリオテスト</t>
  </si>
  <si>
    <t xml:space="preserve">アドホックテスト</t>
  </si>
  <si>
    <t xml:space="preserve">工数</t>
  </si>
  <si>
    <t xml:space="preserve">ACTION名</t>
  </si>
  <si>
    <t xml:space="preserve">DAO名</t>
  </si>
  <si>
    <t xml:space="preserve">DTO名</t>
  </si>
  <si>
    <t xml:space="preserve">util名</t>
  </si>
  <si>
    <t xml:space="preserve">JSP名</t>
  </si>
  <si>
    <t xml:space="preserve">SPタイトル名</t>
  </si>
  <si>
    <t xml:space="preserve">今のJSPタイトル名</t>
  </si>
  <si>
    <t xml:space="preserve">その他</t>
  </si>
  <si>
    <t xml:space="preserve">担当</t>
  </si>
  <si>
    <t xml:space="preserve">１</t>
  </si>
  <si>
    <t xml:space="preserve">トップ画面</t>
  </si>
  <si>
    <t xml:space="preserve">StartAction</t>
  </si>
  <si>
    <t xml:space="preserve">start.jsp</t>
  </si>
  <si>
    <t xml:space="preserve">ホーム画面に遷移する</t>
  </si>
  <si>
    <t xml:space="preserve">タイトルなし</t>
  </si>
  <si>
    <t xml:space="preserve">GoHomeAction</t>
  </si>
  <si>
    <t xml:space="preserve">home.jsp</t>
  </si>
  <si>
    <t xml:space="preserve">ホーム</t>
  </si>
  <si>
    <t xml:space="preserve">alatanapizza HOME画面</t>
  </si>
  <si>
    <t xml:space="preserve">ユーザ-登録機能</t>
  </si>
  <si>
    <t xml:space="preserve">★</t>
  </si>
  <si>
    <t xml:space="preserve">UserCreateAction</t>
  </si>
  <si>
    <t xml:space="preserve">DateUtil</t>
  </si>
  <si>
    <t xml:space="preserve">userCreate.jsp</t>
  </si>
  <si>
    <t xml:space="preserve">ユーザー登録</t>
  </si>
  <si>
    <t xml:space="preserve">お客様情報の登録</t>
  </si>
  <si>
    <t xml:space="preserve">UserCreateConfirmAction</t>
  </si>
  <si>
    <t xml:space="preserve">InputChecker</t>
  </si>
  <si>
    <t xml:space="preserve">userCreateConfirm.jsp</t>
  </si>
  <si>
    <t xml:space="preserve">ユーザー登録　確認　</t>
  </si>
  <si>
    <t xml:space="preserve">登録内容の確認</t>
  </si>
  <si>
    <t xml:space="preserve">UserCreateCompleteAction</t>
  </si>
  <si>
    <t xml:space="preserve">UserCreateCompleteDAO</t>
  </si>
  <si>
    <t xml:space="preserve">userCreateComplete.jsp</t>
  </si>
  <si>
    <t xml:space="preserve">ユーザー登録　完了　</t>
  </si>
  <si>
    <t xml:space="preserve">登録完了</t>
  </si>
  <si>
    <t xml:space="preserve">LoginAction</t>
  </si>
  <si>
    <t xml:space="preserve">LoginDAO</t>
  </si>
  <si>
    <t xml:space="preserve">LoginDTO</t>
  </si>
  <si>
    <t xml:space="preserve">ログイン</t>
  </si>
  <si>
    <t xml:space="preserve">alatanapizza Login画面</t>
  </si>
  <si>
    <t xml:space="preserve">GoLoginAction</t>
  </si>
  <si>
    <t xml:space="preserve">LogoutAction</t>
  </si>
  <si>
    <t xml:space="preserve">login.jsp</t>
  </si>
  <si>
    <t xml:space="preserve">パスワード再設定</t>
  </si>
  <si>
    <t xml:space="preserve">★★</t>
  </si>
  <si>
    <t xml:space="preserve">ChangePasswordAction </t>
  </si>
  <si>
    <t xml:space="preserve">changePassword.jsp</t>
  </si>
  <si>
    <t xml:space="preserve">パスワード変更</t>
  </si>
  <si>
    <t xml:space="preserve">Insert title here</t>
  </si>
  <si>
    <t xml:space="preserve">ChangePasswordConfirmAction </t>
  </si>
  <si>
    <t xml:space="preserve">changePasswordConfirm.jsp</t>
  </si>
  <si>
    <t xml:space="preserve">パスワード変更　確認</t>
  </si>
  <si>
    <t xml:space="preserve">ChangePasswordCompleteAction </t>
  </si>
  <si>
    <t xml:space="preserve">ChangePasswordCompleteDAO</t>
  </si>
  <si>
    <t xml:space="preserve">changePasswordComplete.jsp</t>
  </si>
  <si>
    <t xml:space="preserve">パスワード変更　完了</t>
  </si>
  <si>
    <t xml:space="preserve">Complete</t>
  </si>
  <si>
    <t xml:space="preserve">ProductＩｎｆｏAction</t>
  </si>
  <si>
    <t xml:space="preserve">ProductＩｎｆｏDAO</t>
  </si>
  <si>
    <t xml:space="preserve">ProductＩｎｆｏDTO</t>
  </si>
  <si>
    <t xml:space="preserve">productInfo.jsp</t>
  </si>
  <si>
    <t xml:space="preserve">商品一覧</t>
  </si>
  <si>
    <t xml:space="preserve">CategoryDAO</t>
  </si>
  <si>
    <t xml:space="preserve">CategoryDTO</t>
  </si>
  <si>
    <t xml:space="preserve">★★★★</t>
  </si>
  <si>
    <t xml:space="preserve">ProductInfoDiscriptionAction</t>
  </si>
  <si>
    <t xml:space="preserve">ProductInfoDiscriptionDAO</t>
  </si>
  <si>
    <t xml:space="preserve">productInfoDiscription.jsp</t>
  </si>
  <si>
    <t xml:space="preserve">商品詳細</t>
  </si>
  <si>
    <t xml:space="preserve">ProductSearchAction</t>
  </si>
  <si>
    <t xml:space="preserve">ProductSearchDAO</t>
  </si>
  <si>
    <t xml:space="preserve">ProductSearchDTO</t>
  </si>
  <si>
    <t xml:space="preserve">検索結果</t>
  </si>
  <si>
    <t xml:space="preserve">alatanapizza検索結果</t>
  </si>
  <si>
    <t xml:space="preserve">CartInsertAction </t>
  </si>
  <si>
    <t xml:space="preserve">CartAction</t>
  </si>
  <si>
    <t xml:space="preserve">CartInfoDAO</t>
  </si>
  <si>
    <t xml:space="preserve">CartInfoDTO</t>
  </si>
  <si>
    <t xml:space="preserve">cart.jsp</t>
  </si>
  <si>
    <t xml:space="preserve">カート</t>
  </si>
  <si>
    <t xml:space="preserve">CartDeleteDAO</t>
  </si>
  <si>
    <t xml:space="preserve">AddressRegisterAction</t>
  </si>
  <si>
    <t xml:space="preserve">AddressDAO</t>
  </si>
  <si>
    <t xml:space="preserve">AddressDTO</t>
  </si>
  <si>
    <t xml:space="preserve">addressRegister.jsp</t>
  </si>
  <si>
    <t xml:space="preserve">宛先情報選択</t>
  </si>
  <si>
    <t xml:space="preserve">あて先情報選択画面</t>
  </si>
  <si>
    <t xml:space="preserve">AddressDeleteAction</t>
  </si>
  <si>
    <t xml:space="preserve">宛先情報　登録　</t>
  </si>
  <si>
    <t xml:space="preserve">alatanapizza 宛先情報登録画面</t>
  </si>
  <si>
    <t xml:space="preserve">AddressRegiConfirmAction</t>
  </si>
  <si>
    <t xml:space="preserve">addressRegiConfirm.jsp</t>
  </si>
  <si>
    <t xml:space="preserve">宛先情報　確認</t>
  </si>
  <si>
    <t xml:space="preserve">alatanapizza 宛先情報確認画面</t>
  </si>
  <si>
    <t xml:space="preserve">AddressRegiCompleteAction</t>
  </si>
  <si>
    <t xml:space="preserve">addressRegiComplete.jsp</t>
  </si>
  <si>
    <t xml:space="preserve">宛先情報登録　完了</t>
  </si>
  <si>
    <t xml:space="preserve">alatanapizza 宛先情報登録完了画面</t>
  </si>
  <si>
    <t xml:space="preserve">決済完了機能</t>
  </si>
  <si>
    <t xml:space="preserve">BuyItemConfirmAction</t>
  </si>
  <si>
    <t xml:space="preserve">buyItemConfirm.jsp</t>
  </si>
  <si>
    <t xml:space="preserve">決済確認</t>
  </si>
  <si>
    <t xml:space="preserve">BuyItemCompleteAction.</t>
  </si>
  <si>
    <t xml:space="preserve">BuyItemCompleteDAO</t>
  </si>
  <si>
    <t xml:space="preserve">buyItemComplete.jsp</t>
  </si>
  <si>
    <t xml:space="preserve">決済完了</t>
  </si>
  <si>
    <t xml:space="preserve">MyPageAction</t>
  </si>
  <si>
    <t xml:space="preserve">MyPageDAO</t>
  </si>
  <si>
    <t xml:space="preserve">MyPageDTO</t>
  </si>
  <si>
    <t xml:space="preserve">myPage.jsp</t>
  </si>
  <si>
    <t xml:space="preserve">マイページ</t>
  </si>
  <si>
    <t xml:space="preserve">PurchaceHistoryAction</t>
  </si>
  <si>
    <t xml:space="preserve">PurchaseHistoryDAO</t>
  </si>
  <si>
    <t xml:space="preserve">PurchaseHistoryDTO</t>
  </si>
  <si>
    <t xml:space="preserve">purchaseHistory.jsp</t>
  </si>
  <si>
    <t xml:space="preserve">購入履歴</t>
  </si>
  <si>
    <t xml:space="preserve">PurchaceHistoryDetailsAction</t>
  </si>
  <si>
    <t xml:space="preserve">PurchaseHistoryDetailsDAO</t>
  </si>
  <si>
    <t xml:space="preserve">PurchaseHistoryDetailsDTO</t>
  </si>
  <si>
    <t xml:space="preserve">PurchaseHistoryDetails.jsp</t>
  </si>
  <si>
    <t xml:space="preserve">１４</t>
  </si>
  <si>
    <t xml:space="preserve">ユーザー情報変更機能</t>
  </si>
  <si>
    <t xml:space="preserve">UserUpdateAction</t>
  </si>
  <si>
    <t xml:space="preserve">UserUpdateConfirmDAO</t>
  </si>
  <si>
    <t xml:space="preserve">UserUpdateDTO</t>
  </si>
  <si>
    <t xml:space="preserve">userUpdate.jsp</t>
  </si>
  <si>
    <t xml:space="preserve">ユーザー情報変更</t>
  </si>
  <si>
    <t xml:space="preserve">UserUpdateConfirmAction</t>
  </si>
  <si>
    <t xml:space="preserve">UserUpdateCompleteDAO</t>
  </si>
  <si>
    <t xml:space="preserve">userUpdateConfirm.jsp</t>
  </si>
  <si>
    <t xml:space="preserve">ユーザー情報変更　確認</t>
  </si>
  <si>
    <t xml:space="preserve">UserUpdateCompleteAction</t>
  </si>
  <si>
    <t xml:space="preserve">userUpdateComplete.jsp</t>
  </si>
  <si>
    <t xml:space="preserve">ユーザー情報変更　完了</t>
  </si>
  <si>
    <t xml:space="preserve">変更完了</t>
  </si>
  <si>
    <t xml:space="preserve">仮ユーザID発行機能</t>
  </si>
  <si>
    <t xml:space="preserve">仮仮ユーザID発行</t>
  </si>
  <si>
    <t xml:space="preserve">お気に入り機能</t>
  </si>
  <si>
    <t xml:space="preserve">FavoriteAction</t>
  </si>
  <si>
    <t xml:space="preserve">FavoriteDAO</t>
  </si>
  <si>
    <t xml:space="preserve">FavoriteDTO</t>
  </si>
  <si>
    <t xml:space="preserve">favorite.jsp</t>
  </si>
  <si>
    <t xml:space="preserve">お気に入り</t>
  </si>
  <si>
    <t xml:space="preserve">お気に入りページ</t>
  </si>
  <si>
    <t xml:space="preserve">お問合せ機能</t>
  </si>
  <si>
    <t xml:space="preserve">InquiryAction</t>
  </si>
  <si>
    <t xml:space="preserve">InquiryConfirmDAO</t>
  </si>
  <si>
    <t xml:space="preserve">inquiry.jsp</t>
  </si>
  <si>
    <t xml:space="preserve">お問合せ情報入力</t>
  </si>
  <si>
    <t xml:space="preserve">InquiryConfirmAction</t>
  </si>
  <si>
    <t xml:space="preserve">inquiryConfirm.jsp</t>
  </si>
  <si>
    <t xml:space="preserve">お問合せ情報確認</t>
  </si>
  <si>
    <t xml:space="preserve">InquiryCompleteAction</t>
  </si>
  <si>
    <t xml:space="preserve">InquiryCompleteDAO</t>
  </si>
  <si>
    <t xml:space="preserve">inquiryConmplete.jsp</t>
  </si>
  <si>
    <t xml:space="preserve">お問合せ送信完了</t>
  </si>
  <si>
    <t xml:space="preserve">クリエイトバーガー</t>
  </si>
  <si>
    <t xml:space="preserve">CreateBurgerAction</t>
  </si>
  <si>
    <t xml:space="preserve">GetBurgerOptionDAO</t>
  </si>
  <si>
    <t xml:space="preserve">BurgerOptionDTO</t>
  </si>
  <si>
    <t xml:space="preserve">createBurger.jsp</t>
  </si>
  <si>
    <t xml:space="preserve">CreateBurgerConfirmAction</t>
  </si>
  <si>
    <t xml:space="preserve">CreateBurgerDAO</t>
  </si>
  <si>
    <t xml:space="preserve">createBurgerConfim.jsp</t>
  </si>
  <si>
    <t xml:space="preserve">CreateBurgerCompleteAction</t>
  </si>
  <si>
    <t xml:space="preserve">InsertItemDAO</t>
  </si>
  <si>
    <t xml:space="preserve">createBurgerComplete.jsp</t>
  </si>
  <si>
    <t xml:space="preserve">Struts.xml</t>
  </si>
  <si>
    <t xml:space="preserve">struts.xml</t>
  </si>
  <si>
    <t xml:space="preserve">←少しでも触る時は必ず【担当者】に声をかけてください（担当者不在の場合は【担当グループ】に声をかけてください）</t>
  </si>
  <si>
    <t xml:space="preserve">SQL</t>
  </si>
  <si>
    <t xml:space="preserve">fifties.sql</t>
  </si>
  <si>
    <t xml:space="preserve">画像フォルダ</t>
  </si>
  <si>
    <t xml:space="preserve">images（フォルダ）</t>
  </si>
  <si>
    <t xml:space="preserve">商品詳細フォルダ</t>
  </si>
  <si>
    <t xml:space="preserve">js（フォルダ）</t>
  </si>
  <si>
    <t xml:space="preserve">DBConnector</t>
  </si>
  <si>
    <t xml:space="preserve">ErrorMessageAction</t>
  </si>
  <si>
    <t xml:space="preserve">ErrorMessageConstants</t>
  </si>
  <si>
    <t xml:space="preserve">新商品追加機能</t>
  </si>
  <si>
    <t xml:space="preserve">MasterAddAction</t>
  </si>
  <si>
    <t xml:space="preserve">MasterAddDAO</t>
  </si>
  <si>
    <t xml:space="preserve">masterAdd.jsp</t>
  </si>
  <si>
    <t xml:space="preserve">新商品追加</t>
  </si>
  <si>
    <t xml:space="preserve">新商品追加画面</t>
  </si>
  <si>
    <t xml:space="preserve">(管理者ページ）</t>
  </si>
  <si>
    <t xml:space="preserve">MasterAddConfirmAction</t>
  </si>
  <si>
    <t xml:space="preserve">masterAddConfirm.jsp</t>
  </si>
  <si>
    <t xml:space="preserve">追加商品確認</t>
  </si>
  <si>
    <t xml:space="preserve">MasterAddCompleteAction</t>
  </si>
  <si>
    <t xml:space="preserve">masterAddComplete.jsp</t>
  </si>
  <si>
    <t xml:space="preserve">新商品追加　完了</t>
  </si>
  <si>
    <t xml:space="preserve">新商品追加完了</t>
  </si>
  <si>
    <t xml:space="preserve">GoMasterAction</t>
  </si>
  <si>
    <t xml:space="preserve">既存商品変更機能</t>
  </si>
  <si>
    <t xml:space="preserve">MasterUpdateDAO</t>
  </si>
  <si>
    <t xml:space="preserve">master.jsp</t>
  </si>
  <si>
    <t xml:space="preserve">管理者ページ</t>
  </si>
  <si>
    <t xml:space="preserve">管理者画面です</t>
  </si>
  <si>
    <t xml:space="preserve">（管理者ページHOME）</t>
  </si>
  <si>
    <t xml:space="preserve">        MasterAction</t>
  </si>
  <si>
    <t xml:space="preserve">       MasterDAO</t>
  </si>
  <si>
    <t xml:space="preserve">管理者画面に飛ぶ</t>
  </si>
  <si>
    <t xml:space="preserve">ヘッダーフッターCSS</t>
  </si>
  <si>
    <t xml:space="preserve">include_header.jsp</t>
  </si>
  <si>
    <t xml:space="preserve">ヘッダー</t>
  </si>
  <si>
    <t xml:space="preserve">include_footer.jsp</t>
  </si>
  <si>
    <t xml:space="preserve">フッター</t>
  </si>
  <si>
    <t xml:space="preserve">パッケージ</t>
  </si>
  <si>
    <t xml:space="preserve">問い合わせ管理</t>
  </si>
  <si>
    <t xml:space="preserve">MasterInquiryAction</t>
  </si>
  <si>
    <t xml:space="preserve">MasterInquiryDAO</t>
  </si>
  <si>
    <t xml:space="preserve">InquiryDTO</t>
  </si>
  <si>
    <t xml:space="preserve">masterInquiry.jsp</t>
  </si>
  <si>
    <t xml:space="preserve">masterInquiryConfirm.jsp</t>
  </si>
  <si>
    <t xml:space="preserve">商品変更</t>
  </si>
  <si>
    <t xml:space="preserve">ProductChangeAction</t>
  </si>
  <si>
    <t xml:space="preserve">masterChange.jsp</t>
  </si>
  <si>
    <t xml:space="preserve">ProductChangeConfirmAction</t>
  </si>
  <si>
    <t xml:space="preserve">masterChangeConfirm.jsp</t>
  </si>
  <si>
    <t xml:space="preserve">ProductChangeCompleteAction</t>
  </si>
  <si>
    <t xml:space="preserve">masterChangeComplete.jsp</t>
  </si>
  <si>
    <t xml:space="preserve">レビュー機能</t>
  </si>
  <si>
    <t xml:space="preserve">reviewList</t>
  </si>
  <si>
    <t xml:space="preserve">ReviewDAO</t>
  </si>
  <si>
    <t xml:space="preserve">ReviewDTO</t>
  </si>
  <si>
    <t xml:space="preserve">reviewMyList</t>
  </si>
  <si>
    <t xml:space="preserve">reviewDelete</t>
  </si>
  <si>
    <t xml:space="preserve">CreateReview</t>
  </si>
  <si>
    <t xml:space="preserve">CreatereviewConfirm</t>
  </si>
  <si>
    <t xml:space="preserve">CreateReviewComplete</t>
  </si>
  <si>
    <t xml:space="preserve">色なしは余裕があったら</t>
  </si>
</sst>
</file>

<file path=xl/styles.xml><?xml version="1.0" encoding="utf-8"?>
<styleSheet xmlns="http://schemas.openxmlformats.org/spreadsheetml/2006/main">
  <numFmts count="7">
    <numFmt numFmtId="164" formatCode="General"/>
    <numFmt numFmtId="165" formatCode="D"/>
    <numFmt numFmtId="166" formatCode="0%"/>
    <numFmt numFmtId="167" formatCode="YYYY/MM/DD"/>
    <numFmt numFmtId="168" formatCode="0\日"/>
    <numFmt numFmtId="169" formatCode="General\日"/>
    <numFmt numFmtId="170" formatCode="0.00%"/>
  </numFmts>
  <fonts count="17">
    <font>
      <sz val="11"/>
      <color rgb="FF000000"/>
      <name val="MS PGothic"/>
      <family val="0"/>
      <charset val="1"/>
    </font>
    <font>
      <sz val="10"/>
      <name val="Arial"/>
      <family val="0"/>
      <charset val="128"/>
    </font>
    <font>
      <sz val="10"/>
      <name val="Arial"/>
      <family val="0"/>
      <charset val="128"/>
    </font>
    <font>
      <sz val="10"/>
      <name val="Arial"/>
      <family val="0"/>
      <charset val="128"/>
    </font>
    <font>
      <b val="true"/>
      <sz val="18"/>
      <color rgb="FF000000"/>
      <name val="MS PGothic"/>
      <family val="0"/>
      <charset val="1"/>
    </font>
    <font>
      <sz val="11"/>
      <name val="MS PGothic"/>
      <family val="0"/>
      <charset val="1"/>
    </font>
    <font>
      <sz val="11"/>
      <name val="Cambria"/>
      <family val="0"/>
      <charset val="1"/>
    </font>
    <font>
      <b val="true"/>
      <sz val="11"/>
      <color rgb="FF000000"/>
      <name val="MS PGothic"/>
      <family val="0"/>
      <charset val="1"/>
    </font>
    <font>
      <b val="true"/>
      <sz val="11"/>
      <color rgb="FFFF0000"/>
      <name val="MS PGothic"/>
      <family val="0"/>
      <charset val="1"/>
    </font>
    <font>
      <sz val="11"/>
      <color rgb="FF000000"/>
      <name val="MS PGothic"/>
      <family val="0"/>
      <charset val="128"/>
    </font>
    <font>
      <b val="true"/>
      <sz val="11"/>
      <color rgb="FFCE181E"/>
      <name val="MS PGothic"/>
      <family val="0"/>
      <charset val="1"/>
    </font>
    <font>
      <sz val="11"/>
      <color rgb="FF000000"/>
      <name val="&quot;ms pgothic&quot;"/>
      <family val="0"/>
      <charset val="1"/>
    </font>
    <font>
      <sz val="8"/>
      <color rgb="FF000000"/>
      <name val="&quot;ms pgothic&quot;"/>
      <family val="0"/>
      <charset val="1"/>
    </font>
    <font>
      <sz val="8"/>
      <color rgb="FF000000"/>
      <name val="MS PGothic"/>
      <family val="0"/>
      <charset val="1"/>
    </font>
    <font>
      <strike val="true"/>
      <sz val="11"/>
      <color rgb="FF000000"/>
      <name val="MS PGothic"/>
      <family val="0"/>
      <charset val="1"/>
    </font>
    <font>
      <sz val="11"/>
      <color rgb="FF000000"/>
      <name val="&quot;MS PGothic&quot;"/>
      <family val="0"/>
      <charset val="1"/>
    </font>
    <font>
      <sz val="11"/>
      <color rgb="FFFF0000"/>
      <name val="MS PGothic"/>
      <family val="0"/>
      <charset val="1"/>
    </font>
  </fonts>
  <fills count="11">
    <fill>
      <patternFill patternType="none"/>
    </fill>
    <fill>
      <patternFill patternType="gray125"/>
    </fill>
    <fill>
      <patternFill patternType="solid">
        <fgColor rgb="FFFFFF00"/>
        <bgColor rgb="FFFFFF00"/>
      </patternFill>
    </fill>
    <fill>
      <patternFill patternType="solid">
        <fgColor rgb="FF00CCFF"/>
        <bgColor rgb="FF33CCCC"/>
      </patternFill>
    </fill>
    <fill>
      <patternFill patternType="solid">
        <fgColor rgb="FFF3F3F3"/>
        <bgColor rgb="FFEFEFEF"/>
      </patternFill>
    </fill>
    <fill>
      <patternFill patternType="solid">
        <fgColor rgb="FFEFEFEF"/>
        <bgColor rgb="FFF3F3F3"/>
      </patternFill>
    </fill>
    <fill>
      <patternFill patternType="solid">
        <fgColor rgb="FFFFFFFF"/>
        <bgColor rgb="FFFCFFFC"/>
      </patternFill>
    </fill>
    <fill>
      <patternFill patternType="solid">
        <fgColor rgb="FF0066CC"/>
        <bgColor rgb="FF008080"/>
      </patternFill>
    </fill>
    <fill>
      <patternFill patternType="solid">
        <fgColor rgb="FFFAFFFE"/>
        <bgColor rgb="FFFCFFFC"/>
      </patternFill>
    </fill>
    <fill>
      <patternFill patternType="solid">
        <fgColor rgb="FF00FFFF"/>
        <bgColor rgb="FF00FFFF"/>
      </patternFill>
    </fill>
    <fill>
      <patternFill patternType="solid">
        <fgColor rgb="FFFCFFFC"/>
        <bgColor rgb="FFFAFFFE"/>
      </patternFill>
    </fill>
  </fills>
  <borders count="21">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style="thin"/>
      <bottom/>
      <diagonal/>
    </border>
    <border diagonalUp="false" diagonalDown="false">
      <left style="thin"/>
      <right style="thin"/>
      <top/>
      <bottom style="thin"/>
      <diagonal/>
    </border>
    <border diagonalUp="false" diagonalDown="false">
      <left/>
      <right/>
      <top style="thin"/>
      <bottom/>
      <diagonal/>
    </border>
    <border diagonalUp="false" diagonalDown="false">
      <left/>
      <right style="thin"/>
      <top/>
      <bottom style="thin"/>
      <diagonal/>
    </border>
    <border diagonalUp="false" diagonalDown="false">
      <left style="thin"/>
      <right/>
      <top style="thin"/>
      <bottom/>
      <diagonal/>
    </border>
    <border diagonalUp="false" diagonalDown="false">
      <left/>
      <right style="thick">
        <color rgb="FFFF0000"/>
      </right>
      <top style="thick">
        <color rgb="FFFF0000"/>
      </top>
      <bottom/>
      <diagonal/>
    </border>
    <border diagonalUp="false" diagonalDown="false">
      <left/>
      <right style="thick">
        <color rgb="FFFF0000"/>
      </right>
      <top style="thin"/>
      <bottom/>
      <diagonal/>
    </border>
    <border diagonalUp="false" diagonalDown="false">
      <left style="thin"/>
      <right/>
      <top/>
      <bottom style="thin"/>
      <diagonal/>
    </border>
    <border diagonalUp="false" diagonalDown="false">
      <left/>
      <right style="thick">
        <color rgb="FFFF0000"/>
      </right>
      <top/>
      <bottom style="thin"/>
      <diagonal/>
    </border>
    <border diagonalUp="false" diagonalDown="false">
      <left style="thin"/>
      <right/>
      <top/>
      <bottom/>
      <diagonal/>
    </border>
    <border diagonalUp="false" diagonalDown="false">
      <left style="thin"/>
      <right style="thin"/>
      <top/>
      <bottom/>
      <diagonal/>
    </border>
    <border diagonalUp="false" diagonalDown="false">
      <left/>
      <right style="thick">
        <color rgb="FFFF0000"/>
      </right>
      <top/>
      <bottom/>
      <diagonal/>
    </border>
    <border diagonalUp="false" diagonalDown="false">
      <left/>
      <right style="thick">
        <color rgb="FFFF0000"/>
      </right>
      <top style="thin"/>
      <bottom style="thin"/>
      <diagonal/>
    </border>
    <border diagonalUp="false" diagonalDown="false">
      <left/>
      <right/>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5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7" fillId="3" borderId="2" xfId="0" applyFont="true" applyBorder="true" applyAlignment="true" applyProtection="false">
      <alignment horizontal="center" vertical="center" textRotation="0" wrapText="false" indent="0" shrinkToFit="false"/>
      <protection locked="true" hidden="false"/>
    </xf>
    <xf numFmtId="164" fontId="7" fillId="3" borderId="2" xfId="0" applyFont="true" applyBorder="true" applyAlignment="true" applyProtection="false">
      <alignment horizontal="general" vertical="center" textRotation="0" wrapText="false" indent="0" shrinkToFit="false"/>
      <protection locked="true" hidden="false"/>
    </xf>
    <xf numFmtId="164" fontId="7" fillId="4" borderId="2" xfId="0" applyFont="true" applyBorder="true" applyAlignment="true" applyProtection="false">
      <alignment horizontal="center" vertical="center" textRotation="0" wrapText="false" indent="0" shrinkToFit="false"/>
      <protection locked="true" hidden="false"/>
    </xf>
    <xf numFmtId="165" fontId="0" fillId="5" borderId="2" xfId="0" applyFont="true" applyBorder="true" applyAlignment="true" applyProtection="false">
      <alignment horizontal="general" vertical="center" textRotation="0" wrapText="false" indent="0" shrinkToFit="false"/>
      <protection locked="true" hidden="false"/>
    </xf>
    <xf numFmtId="165" fontId="0" fillId="0" borderId="2" xfId="0" applyFont="true" applyBorder="true" applyAlignment="true" applyProtection="false">
      <alignment horizontal="general" vertical="center" textRotation="0" wrapText="false" indent="0" shrinkToFit="false"/>
      <protection locked="true" hidden="false"/>
    </xf>
    <xf numFmtId="164" fontId="0" fillId="0" borderId="2" xfId="0" applyFont="true" applyBorder="true" applyAlignment="true" applyProtection="false">
      <alignment horizontal="general" vertical="center" textRotation="0" wrapText="false" indent="0" shrinkToFit="false"/>
      <protection locked="true" hidden="fals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6" fontId="0" fillId="0" borderId="2" xfId="0" applyFont="true" applyBorder="true" applyAlignment="true" applyProtection="false">
      <alignment horizontal="center" vertical="center" textRotation="0" wrapText="false" indent="0" shrinkToFit="false"/>
      <protection locked="true" hidden="false"/>
    </xf>
    <xf numFmtId="167" fontId="0" fillId="0" borderId="2" xfId="0" applyFont="true" applyBorder="true" applyAlignment="true" applyProtection="false">
      <alignment horizontal="general" vertical="center" textRotation="0" wrapText="false" indent="0" shrinkToFit="false"/>
      <protection locked="true" hidden="false"/>
    </xf>
    <xf numFmtId="168" fontId="0" fillId="0" borderId="2" xfId="0" applyFont="true" applyBorder="true" applyAlignment="true" applyProtection="false">
      <alignment horizontal="center" vertical="center" textRotation="0" wrapText="false" indent="0" shrinkToFit="false"/>
      <protection locked="true" hidden="false"/>
    </xf>
    <xf numFmtId="164" fontId="8" fillId="0" borderId="2" xfId="0" applyFont="true" applyBorder="true" applyAlignment="true" applyProtection="false">
      <alignment horizontal="left" vertical="center" textRotation="0" wrapText="false" indent="0" shrinkToFit="false"/>
      <protection locked="true" hidden="false"/>
    </xf>
    <xf numFmtId="164" fontId="0" fillId="0" borderId="2" xfId="0" applyFont="true" applyBorder="true" applyAlignment="true" applyProtection="false">
      <alignment horizontal="left" vertical="center" textRotation="0" wrapText="false" indent="0" shrinkToFit="false"/>
      <protection locked="true" hidden="false"/>
    </xf>
    <xf numFmtId="164" fontId="0" fillId="0" borderId="4" xfId="0" applyFont="true" applyBorder="true" applyAlignment="true" applyProtection="false">
      <alignment horizontal="center" vertical="center" textRotation="0" wrapText="false" indent="0" shrinkToFit="false"/>
      <protection locked="true" hidden="false"/>
    </xf>
    <xf numFmtId="166" fontId="0"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9" fontId="9" fillId="0" borderId="2" xfId="0" applyFont="tru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3"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10" fillId="0" borderId="2" xfId="0" applyFont="true" applyBorder="true" applyAlignment="true" applyProtection="false">
      <alignment horizontal="left"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false" indent="0" shrinkToFit="false"/>
      <protection locked="true" hidden="false"/>
    </xf>
    <xf numFmtId="167" fontId="9" fillId="0" borderId="2" xfId="0" applyFont="true" applyBorder="true" applyAlignment="true" applyProtection="false">
      <alignment horizontal="general" vertical="center" textRotation="0" wrapText="false" indent="0" shrinkToFit="false"/>
      <protection locked="true" hidden="false"/>
    </xf>
    <xf numFmtId="165" fontId="0" fillId="6" borderId="2" xfId="0" applyFont="true" applyBorder="true" applyAlignment="true" applyProtection="false">
      <alignment horizontal="general" vertical="center" textRotation="0" wrapText="false" indent="0" shrinkToFit="false"/>
      <protection locked="true" hidden="false"/>
    </xf>
    <xf numFmtId="170" fontId="0" fillId="0" borderId="7" xfId="0" applyFont="true" applyBorder="true" applyAlignment="true" applyProtection="false">
      <alignment horizontal="left" vertical="center" textRotation="0" wrapText="false" indent="0" shrinkToFit="false"/>
      <protection locked="true" hidden="false"/>
    </xf>
    <xf numFmtId="170" fontId="0" fillId="0" borderId="2" xfId="0" applyFont="true" applyBorder="true" applyAlignment="true" applyProtection="false">
      <alignment horizontal="center" vertical="center" textRotation="0" wrapText="false" indent="0" shrinkToFit="false"/>
      <protection locked="true" hidden="false"/>
    </xf>
    <xf numFmtId="165" fontId="0" fillId="7" borderId="2" xfId="0" applyFont="true" applyBorder="true" applyAlignment="true" applyProtection="false">
      <alignment horizontal="general" vertical="center" textRotation="0" wrapText="false" indent="0" shrinkToFit="false"/>
      <protection locked="true" hidden="false"/>
    </xf>
    <xf numFmtId="164" fontId="5" fillId="0" borderId="3" xfId="0" applyFont="true" applyBorder="true" applyAlignment="true" applyProtection="false">
      <alignment horizontal="left"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false" indent="0" shrinkToFit="false"/>
      <protection locked="true" hidden="false"/>
    </xf>
    <xf numFmtId="165" fontId="0" fillId="8" borderId="2" xfId="0" applyFont="true" applyBorder="true" applyAlignment="true" applyProtection="false">
      <alignment horizontal="general" vertical="center" textRotation="0" wrapText="false" indent="0" shrinkToFit="false"/>
      <protection locked="true" hidden="false"/>
    </xf>
    <xf numFmtId="167" fontId="0" fillId="0" borderId="8"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12" fillId="0" borderId="7" xfId="0" applyFont="true" applyBorder="true" applyAlignment="true" applyProtection="false">
      <alignment horizontal="left" vertical="center" textRotation="0" wrapText="false" indent="0" shrinkToFit="false"/>
      <protection locked="true" hidden="false"/>
    </xf>
    <xf numFmtId="164" fontId="12" fillId="0" borderId="9" xfId="0" applyFont="true" applyBorder="true" applyAlignment="true" applyProtection="false">
      <alignment horizontal="left" vertical="center" textRotation="0" wrapText="false" indent="0" shrinkToFit="false"/>
      <protection locked="true" hidden="false"/>
    </xf>
    <xf numFmtId="164" fontId="13" fillId="0" borderId="9" xfId="0" applyFont="true" applyBorder="true" applyAlignment="true" applyProtection="false">
      <alignment horizontal="left" vertical="center" textRotation="0" wrapText="false" indent="0" shrinkToFit="false"/>
      <protection locked="true" hidden="false"/>
    </xf>
    <xf numFmtId="164" fontId="0" fillId="6" borderId="2"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7" fontId="0" fillId="0" borderId="10" xfId="0" applyFont="true" applyBorder="true" applyAlignment="true" applyProtection="false">
      <alignment horizontal="right" vertical="center" textRotation="0" wrapText="false" indent="0" shrinkToFit="false"/>
      <protection locked="true" hidden="false"/>
    </xf>
    <xf numFmtId="169" fontId="0" fillId="0" borderId="2" xfId="0" applyFont="true" applyBorder="true" applyAlignment="true" applyProtection="false">
      <alignment horizontal="center" vertical="center" textRotation="0" wrapText="false" indent="0" shrinkToFit="false"/>
      <protection locked="true" hidden="false"/>
    </xf>
    <xf numFmtId="168" fontId="0" fillId="0" borderId="10" xfId="0" applyFont="true" applyBorder="true" applyAlignment="true" applyProtection="false">
      <alignment horizontal="center" vertical="center" textRotation="0" wrapText="false" indent="0" shrinkToFit="false"/>
      <protection locked="true" hidden="false"/>
    </xf>
    <xf numFmtId="167" fontId="5" fillId="0" borderId="10" xfId="0" applyFont="true" applyBorder="true" applyAlignment="true" applyProtection="false">
      <alignment horizontal="general" vertical="center" textRotation="0" wrapText="false" indent="0" shrinkToFit="false"/>
      <protection locked="true" hidden="false"/>
    </xf>
    <xf numFmtId="164" fontId="7" fillId="0" borderId="3" xfId="0" applyFont="true" applyBorder="true" applyAlignment="true" applyProtection="false">
      <alignment horizontal="center" vertical="center" textRotation="0" wrapText="false" indent="0" shrinkToFit="false"/>
      <protection locked="true" hidden="false"/>
    </xf>
    <xf numFmtId="164" fontId="7"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4" fontId="0" fillId="9" borderId="3" xfId="0" applyFont="tru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center" vertical="center" textRotation="0" wrapText="false" indent="0" shrinkToFit="false"/>
      <protection locked="true" hidden="false"/>
    </xf>
    <xf numFmtId="164" fontId="5" fillId="6" borderId="3" xfId="0" applyFont="true" applyBorder="true" applyAlignment="true" applyProtection="false">
      <alignment horizontal="center" vertical="center" textRotation="0" wrapText="false" indent="0" shrinkToFit="false"/>
      <protection locked="true" hidden="false"/>
    </xf>
    <xf numFmtId="164" fontId="5" fillId="9" borderId="11" xfId="0" applyFont="true" applyBorder="true" applyAlignment="true" applyProtection="false">
      <alignment horizontal="center" vertical="center" textRotation="0" wrapText="false" indent="0" shrinkToFit="false"/>
      <protection locked="true" hidden="false"/>
    </xf>
    <xf numFmtId="164" fontId="0" fillId="6" borderId="13" xfId="0" applyFont="true" applyBorder="true" applyAlignment="true" applyProtection="false">
      <alignment horizontal="center" vertical="center" textRotation="0" wrapText="false" indent="0" shrinkToFit="false"/>
      <protection locked="true" hidden="false"/>
    </xf>
    <xf numFmtId="164" fontId="0" fillId="6" borderId="7"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4" fontId="0" fillId="9" borderId="8" xfId="0" applyFont="true" applyBorder="true" applyAlignment="true" applyProtection="false">
      <alignment horizontal="center"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false" indent="0" shrinkToFit="false"/>
      <protection locked="true" hidden="false"/>
    </xf>
    <xf numFmtId="164" fontId="5" fillId="9" borderId="14" xfId="0" applyFont="true" applyBorder="true" applyAlignment="true" applyProtection="false">
      <alignment horizontal="center" vertical="center" textRotation="0" wrapText="false" indent="0" shrinkToFit="false"/>
      <protection locked="true" hidden="false"/>
    </xf>
    <xf numFmtId="164" fontId="0" fillId="6" borderId="15"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center" vertical="center" textRotation="0" wrapText="false" indent="0" shrinkToFit="false"/>
      <protection locked="true" hidden="false"/>
    </xf>
    <xf numFmtId="164" fontId="0" fillId="0" borderId="17"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9" borderId="17"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5" fillId="9" borderId="16" xfId="0" applyFont="true" applyBorder="true" applyAlignment="true" applyProtection="false">
      <alignment horizontal="center" vertical="center" textRotation="0" wrapText="false" indent="0" shrinkToFit="false"/>
      <protection locked="true" hidden="false"/>
    </xf>
    <xf numFmtId="164" fontId="0" fillId="6" borderId="0" xfId="0" applyFont="true" applyBorder="true" applyAlignment="true" applyProtection="fals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5" fillId="0" borderId="14" xfId="0" applyFont="true" applyBorder="true" applyAlignment="true" applyProtection="false">
      <alignment horizontal="center" vertical="center" textRotation="0" wrapText="false" indent="0" shrinkToFit="false"/>
      <protection locked="true" hidden="false"/>
    </xf>
    <xf numFmtId="164" fontId="0" fillId="6" borderId="1" xfId="0" applyFont="true" applyBorder="true" applyAlignment="true" applyProtection="false">
      <alignment horizontal="center" vertical="center" textRotation="0" wrapText="false" indent="0" shrinkToFit="false"/>
      <protection locked="true" hidden="false"/>
    </xf>
    <xf numFmtId="164" fontId="5" fillId="0" borderId="17" xfId="0" applyFont="true" applyBorder="true" applyAlignment="true" applyProtection="false">
      <alignment horizontal="center" vertical="center" textRotation="0" wrapText="false" indent="0" shrinkToFit="false"/>
      <protection locked="true" hidden="false"/>
    </xf>
    <xf numFmtId="164" fontId="0" fillId="6" borderId="1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5" fillId="0" borderId="9" xfId="0" applyFont="true" applyBorder="true" applyAlignment="true" applyProtection="false">
      <alignment horizontal="center" vertical="center" textRotation="0" wrapText="false" indent="0" shrinkToFit="false"/>
      <protection locked="true" hidden="false"/>
    </xf>
    <xf numFmtId="164" fontId="0" fillId="6" borderId="9"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64" fontId="0" fillId="6" borderId="17" xfId="0" applyFont="true" applyBorder="true" applyAlignment="true" applyProtection="false">
      <alignment horizontal="center" vertical="center" textRotation="0" wrapText="false" indent="0" shrinkToFit="false"/>
      <protection locked="true" hidden="false"/>
    </xf>
    <xf numFmtId="164" fontId="11" fillId="6" borderId="1" xfId="0" applyFont="true" applyBorder="true" applyAlignment="true" applyProtection="false">
      <alignment horizontal="center" vertical="center" textRotation="0" wrapText="false" indent="0" shrinkToFit="false"/>
      <protection locked="true" hidden="false"/>
    </xf>
    <xf numFmtId="164" fontId="11" fillId="6" borderId="17" xfId="0" applyFont="true" applyBorder="true" applyAlignment="true" applyProtection="false">
      <alignment horizontal="center" vertical="center" textRotation="0" wrapText="false" indent="0" shrinkToFit="false"/>
      <protection locked="true" hidden="false"/>
    </xf>
    <xf numFmtId="164" fontId="11" fillId="6" borderId="0" xfId="0" applyFont="true" applyBorder="true" applyAlignment="true" applyProtection="false">
      <alignment horizontal="center" vertical="center" textRotation="0" wrapText="false" indent="0" shrinkToFit="false"/>
      <protection locked="true" hidden="false"/>
    </xf>
    <xf numFmtId="164" fontId="5" fillId="6" borderId="8" xfId="0" applyFont="true" applyBorder="true" applyAlignment="true" applyProtection="false">
      <alignment horizontal="center" vertical="center" textRotation="0" wrapText="false" indent="0" shrinkToFit="false"/>
      <protection locked="true" hidden="false"/>
    </xf>
    <xf numFmtId="164" fontId="0" fillId="6" borderId="6"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general" vertical="center" textRotation="0" wrapText="false" indent="0" shrinkToFit="false"/>
      <protection locked="true" hidden="false"/>
    </xf>
    <xf numFmtId="164" fontId="11" fillId="9" borderId="1" xfId="0" applyFont="true" applyBorder="true" applyAlignment="true" applyProtection="false">
      <alignment horizontal="center" vertical="center" textRotation="0" wrapText="false" indent="0" shrinkToFit="false"/>
      <protection locked="true" hidden="false"/>
    </xf>
    <xf numFmtId="164" fontId="11" fillId="9" borderId="17" xfId="0" applyFont="true" applyBorder="true" applyAlignment="true" applyProtection="false">
      <alignment horizontal="center" vertical="center" textRotation="0" wrapText="false" indent="0" shrinkToFit="false"/>
      <protection locked="true" hidden="false"/>
    </xf>
    <xf numFmtId="164" fontId="11" fillId="9" borderId="0" xfId="0" applyFont="true" applyBorder="true" applyAlignment="true" applyProtection="false">
      <alignment horizontal="center" vertical="center" textRotation="0" wrapText="false" indent="0" shrinkToFit="false"/>
      <protection locked="true" hidden="false"/>
    </xf>
    <xf numFmtId="164" fontId="14" fillId="0" borderId="3" xfId="0" applyFont="true" applyBorder="true" applyAlignment="true" applyProtection="false">
      <alignment horizontal="center" vertical="center" textRotation="0" wrapText="false" indent="0" shrinkToFit="false"/>
      <protection locked="true" hidden="false"/>
    </xf>
    <xf numFmtId="164" fontId="14" fillId="0" borderId="9" xfId="0" applyFont="true" applyBorder="true" applyAlignment="true" applyProtection="false">
      <alignment horizontal="center" vertical="center" textRotation="0" wrapText="false" indent="0" shrinkToFit="false"/>
      <protection locked="true" hidden="false"/>
    </xf>
    <xf numFmtId="164" fontId="5" fillId="6" borderId="2" xfId="0" applyFont="true" applyBorder="true" applyAlignment="true" applyProtection="false">
      <alignment horizontal="center" vertical="center" textRotation="0" wrapText="false" indent="0" shrinkToFit="false"/>
      <protection locked="true" hidden="false"/>
    </xf>
    <xf numFmtId="164" fontId="5" fillId="6" borderId="4" xfId="0" applyFont="true" applyBorder="true" applyAlignment="true" applyProtection="false">
      <alignment horizontal="center" vertical="center" textRotation="0" wrapText="false" indent="0" shrinkToFit="false"/>
      <protection locked="true" hidden="false"/>
    </xf>
    <xf numFmtId="164" fontId="14" fillId="6" borderId="2" xfId="0" applyFont="true" applyBorder="true" applyAlignment="true" applyProtection="false">
      <alignment horizontal="center" vertical="center" textRotation="0" wrapText="false" indent="0" shrinkToFit="false"/>
      <protection locked="true" hidden="false"/>
    </xf>
    <xf numFmtId="164" fontId="14" fillId="6" borderId="19" xfId="0" applyFont="true" applyBorder="true" applyAlignment="true" applyProtection="false">
      <alignment horizontal="center" vertical="center" textRotation="0" wrapText="false" indent="0" shrinkToFit="false"/>
      <protection locked="true" hidden="false"/>
    </xf>
    <xf numFmtId="164" fontId="14" fillId="6" borderId="5" xfId="0" applyFont="true" applyBorder="true" applyAlignment="true" applyProtection="false">
      <alignment horizontal="center" vertical="center" textRotation="0" wrapText="false" indent="0" shrinkToFit="false"/>
      <protection locked="true" hidden="false"/>
    </xf>
    <xf numFmtId="164" fontId="0" fillId="9" borderId="9" xfId="0" applyFont="true" applyBorder="true" applyAlignment="true" applyProtection="false">
      <alignment horizontal="center" vertical="center" textRotation="0" wrapText="false" indent="0" shrinkToFit="false"/>
      <protection locked="true" hidden="false"/>
    </xf>
    <xf numFmtId="164" fontId="11" fillId="0" borderId="17"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center" vertical="center" textRotation="0" wrapText="false" indent="0" shrinkToFit="false"/>
      <protection locked="true" hidden="false"/>
    </xf>
    <xf numFmtId="164" fontId="5" fillId="6" borderId="16" xfId="0" applyFont="true" applyBorder="true" applyAlignment="true" applyProtection="false">
      <alignment horizontal="center" vertical="center" textRotation="0" wrapText="false" indent="0" shrinkToFit="false"/>
      <protection locked="true" hidden="false"/>
    </xf>
    <xf numFmtId="164" fontId="5" fillId="9" borderId="3"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general"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false" indent="0" shrinkToFit="false"/>
      <protection locked="true" hidden="false"/>
    </xf>
    <xf numFmtId="164" fontId="0" fillId="9" borderId="16"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0" fillId="9" borderId="14" xfId="0" applyFont="true" applyBorder="true" applyAlignment="true" applyProtection="false">
      <alignment horizontal="center" vertical="center" textRotation="0" wrapText="false" indent="0" shrinkToFit="false"/>
      <protection locked="true" hidden="false"/>
    </xf>
    <xf numFmtId="164" fontId="0" fillId="0" borderId="15" xfId="0" applyFont="true" applyBorder="true" applyAlignment="true" applyProtection="false">
      <alignment horizontal="center" vertical="center" textRotation="0" wrapText="false" indent="0" shrinkToFit="false"/>
      <protection locked="true" hidden="false"/>
    </xf>
    <xf numFmtId="164" fontId="0" fillId="9" borderId="11" xfId="0" applyFont="true" applyBorder="true" applyAlignment="true" applyProtection="false">
      <alignment horizontal="center" vertical="center" textRotation="0" wrapText="false" indent="0" shrinkToFit="false"/>
      <protection locked="true" hidden="false"/>
    </xf>
    <xf numFmtId="164" fontId="15" fillId="9" borderId="0" xfId="0" applyFont="true" applyBorder="false" applyAlignment="true" applyProtection="false">
      <alignment horizontal="center" vertical="bottom" textRotation="0" wrapText="false" indent="0" shrinkToFit="false"/>
      <protection locked="true" hidden="false"/>
    </xf>
    <xf numFmtId="164" fontId="11" fillId="6" borderId="2" xfId="0" applyFont="true" applyBorder="true" applyAlignment="true" applyProtection="false">
      <alignment horizontal="center" vertical="center" textRotation="0" wrapText="false" indent="0" shrinkToFit="false"/>
      <protection locked="true" hidden="false"/>
    </xf>
    <xf numFmtId="164" fontId="11" fillId="6" borderId="13" xfId="0" applyFont="true" applyBorder="true" applyAlignment="true" applyProtection="false">
      <alignment horizontal="center" vertical="center" textRotation="0" wrapText="false" indent="0" shrinkToFit="false"/>
      <protection locked="true" hidden="false"/>
    </xf>
    <xf numFmtId="164" fontId="11" fillId="6" borderId="9" xfId="0" applyFont="true" applyBorder="true" applyAlignment="true" applyProtection="false">
      <alignment horizontal="center" vertical="center" textRotation="0" wrapText="false" indent="0" shrinkToFit="false"/>
      <protection locked="true" hidden="false"/>
    </xf>
    <xf numFmtId="164" fontId="11" fillId="6" borderId="3" xfId="0" applyFont="true" applyBorder="true" applyAlignment="true" applyProtection="false">
      <alignment horizontal="center" vertical="center" textRotation="0" wrapText="false" indent="0" shrinkToFit="false"/>
      <protection locked="true" hidden="false"/>
    </xf>
    <xf numFmtId="164" fontId="5" fillId="0" borderId="18" xfId="0" applyFont="true" applyBorder="true" applyAlignment="true" applyProtection="false">
      <alignment horizontal="center" vertical="center" textRotation="0" wrapText="false" indent="0" shrinkToFit="false"/>
      <protection locked="true" hidden="false"/>
    </xf>
    <xf numFmtId="164" fontId="5" fillId="0" borderId="10"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0" fillId="0" borderId="20" xfId="0" applyFont="true" applyBorder="true" applyAlignment="true" applyProtection="false">
      <alignment horizontal="center" vertical="center" textRotation="0" wrapText="false" indent="0" shrinkToFit="false"/>
      <protection locked="true" hidden="false"/>
    </xf>
    <xf numFmtId="164" fontId="5" fillId="0" borderId="17"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false" indent="0" shrinkToFit="false"/>
      <protection locked="true" hidden="false"/>
    </xf>
    <xf numFmtId="164" fontId="0" fillId="6" borderId="14" xfId="0" applyFont="true" applyBorder="true" applyAlignment="true" applyProtection="false">
      <alignment horizontal="center" vertical="center" textRotation="0" wrapText="false" indent="0" shrinkToFit="false"/>
      <protection locked="true" hidden="false"/>
    </xf>
    <xf numFmtId="164" fontId="0" fillId="6" borderId="8" xfId="0" applyFont="true" applyBorder="true" applyAlignment="true" applyProtection="false">
      <alignment horizontal="center" vertical="center" textRotation="0" wrapText="false" indent="0" shrinkToFit="false"/>
      <protection locked="true" hidden="false"/>
    </xf>
    <xf numFmtId="164" fontId="0" fillId="2" borderId="10"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general" vertical="center" textRotation="0" wrapText="false" indent="0" shrinkToFit="false"/>
      <protection locked="true" hidden="false"/>
    </xf>
    <xf numFmtId="164" fontId="0" fillId="6" borderId="19" xfId="0" applyFont="true" applyBorder="true" applyAlignment="true" applyProtection="false">
      <alignment horizontal="center" vertical="center" textRotation="0" wrapText="false" indent="0" shrinkToFit="false"/>
      <protection locked="true" hidden="false"/>
    </xf>
    <xf numFmtId="164" fontId="0" fillId="2" borderId="5"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false" indent="0" shrinkToFit="false"/>
      <protection locked="true" hidden="false"/>
    </xf>
    <xf numFmtId="164" fontId="5" fillId="9" borderId="2"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5" fillId="0" borderId="7" xfId="0" applyFont="true" applyBorder="true" applyAlignment="true" applyProtection="false">
      <alignment horizontal="center" vertical="center" textRotation="0" wrapText="false" indent="0" shrinkToFit="false"/>
      <protection locked="true" hidden="false"/>
    </xf>
    <xf numFmtId="164" fontId="5" fillId="6" borderId="11" xfId="0" applyFont="true" applyBorder="true" applyAlignment="true" applyProtection="false">
      <alignment horizontal="center" vertical="center" textRotation="0" wrapText="false" indent="0" shrinkToFit="false"/>
      <protection locked="true" hidden="false"/>
    </xf>
    <xf numFmtId="164" fontId="5" fillId="0" borderId="3" xfId="0" applyFont="true" applyBorder="true" applyAlignment="true" applyProtection="false">
      <alignment horizontal="general" vertical="center" textRotation="0" wrapText="false" indent="0" shrinkToFit="false"/>
      <protection locked="true" hidden="false"/>
    </xf>
    <xf numFmtId="164" fontId="5" fillId="0" borderId="13" xfId="0" applyFont="true" applyBorder="true" applyAlignment="true" applyProtection="false">
      <alignment horizontal="center"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4" fontId="5" fillId="0" borderId="14"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0" borderId="15"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general" vertical="center" textRotation="0" wrapText="false" indent="0" shrinkToFit="false"/>
      <protection locked="true" hidden="false"/>
    </xf>
    <xf numFmtId="164" fontId="5" fillId="0" borderId="18"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general" vertical="center" textRotation="0" wrapText="false" indent="0" shrinkToFit="false"/>
      <protection locked="true" hidden="false"/>
    </xf>
    <xf numFmtId="164" fontId="5" fillId="0" borderId="15" xfId="0" applyFont="true" applyBorder="true" applyAlignment="true" applyProtection="false">
      <alignment horizontal="general" vertical="center" textRotation="0" wrapText="false" indent="0" shrinkToFit="false"/>
      <protection locked="true" hidden="false"/>
    </xf>
    <xf numFmtId="164" fontId="5" fillId="0" borderId="19" xfId="0" applyFont="true" applyBorder="true" applyAlignment="true" applyProtection="false">
      <alignment horizontal="general" vertical="center" textRotation="0" wrapText="false" indent="0" shrinkToFit="false"/>
      <protection locked="true" hidden="false"/>
    </xf>
    <xf numFmtId="164" fontId="5" fillId="10" borderId="6" xfId="0" applyFont="true" applyBorder="true" applyAlignment="true" applyProtection="false">
      <alignment horizontal="general" vertical="center" textRotation="0" wrapText="false" indent="0" shrinkToFit="false"/>
      <protection locked="true" hidden="false"/>
    </xf>
    <xf numFmtId="164" fontId="5" fillId="6" borderId="6" xfId="0" applyFont="true" applyBorder="true" applyAlignment="true" applyProtection="false">
      <alignment horizontal="general" vertical="center" textRotation="0" wrapText="false" indent="0" shrinkToFit="false"/>
      <protection locked="true" hidden="false"/>
    </xf>
    <xf numFmtId="164" fontId="6" fillId="0" borderId="6"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left" vertical="center"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6">
    <dxf>
      <fill>
        <patternFill>
          <bgColor rgb="FF0066CC"/>
        </patternFill>
      </fill>
    </dxf>
    <dxf>
      <fill>
        <patternFill>
          <bgColor rgb="FFFF0000"/>
        </patternFill>
      </fill>
    </dxf>
    <dxf>
      <fill>
        <patternFill>
          <bgColor rgb="FFFF99CC"/>
        </patternFill>
      </fill>
    </dxf>
    <dxf>
      <fill>
        <patternFill>
          <bgColor rgb="FF808080"/>
        </patternFill>
      </fill>
    </dxf>
    <dxf>
      <fill>
        <patternFill>
          <bgColor rgb="FFF4C7C3"/>
        </patternFill>
      </fill>
    </dxf>
    <dxf>
      <fill>
        <patternFill>
          <bgColor rgb="FFCFE2F3"/>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CFFFC"/>
      <rgbColor rgb="FFEFEFEF"/>
      <rgbColor rgb="FF660066"/>
      <rgbColor rgb="FFFF8080"/>
      <rgbColor rgb="FF0066CC"/>
      <rgbColor rgb="FFCFE2F3"/>
      <rgbColor rgb="FF000080"/>
      <rgbColor rgb="FFFF00FF"/>
      <rgbColor rgb="FFFFFF00"/>
      <rgbColor rgb="FF00FFFF"/>
      <rgbColor rgb="FF800080"/>
      <rgbColor rgb="FF800000"/>
      <rgbColor rgb="FF008080"/>
      <rgbColor rgb="FF0000FF"/>
      <rgbColor rgb="FF00CCFF"/>
      <rgbColor rgb="FFF3F3F3"/>
      <rgbColor rgb="FFFAFFFE"/>
      <rgbColor rgb="FFFFFF99"/>
      <rgbColor rgb="FF99CCFF"/>
      <rgbColor rgb="FFFF99CC"/>
      <rgbColor rgb="FFCC99FF"/>
      <rgbColor rgb="FFF4C7C3"/>
      <rgbColor rgb="FF3366FF"/>
      <rgbColor rgb="FF33CCCC"/>
      <rgbColor rgb="FF99CC00"/>
      <rgbColor rgb="FFFFCC00"/>
      <rgbColor rgb="FFFF9900"/>
      <rgbColor rgb="FFFF6600"/>
      <rgbColor rgb="FF666699"/>
      <rgbColor rgb="FF969696"/>
      <rgbColor rgb="FF003366"/>
      <rgbColor rgb="FF339966"/>
      <rgbColor rgb="FF003300"/>
      <rgbColor rgb="FF333300"/>
      <rgbColor rgb="FFCE18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R1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L10" activeCellId="0" sqref="L10"/>
    </sheetView>
  </sheetViews>
  <sheetFormatPr defaultRowHeight="13.8" zeroHeight="false" outlineLevelRow="0" outlineLevelCol="0"/>
  <cols>
    <col collapsed="false" customWidth="true" hidden="false" outlineLevel="0" max="1" min="1" style="0" width="3.13"/>
    <col collapsed="false" customWidth="true" hidden="false" outlineLevel="0" max="2" min="2" style="0" width="10"/>
    <col collapsed="false" customWidth="true" hidden="false" outlineLevel="0" max="3" min="3" style="0" width="8.13"/>
    <col collapsed="false" customWidth="true" hidden="false" outlineLevel="0" max="4" min="4" style="0" width="6.38"/>
    <col collapsed="false" customWidth="true" hidden="false" outlineLevel="0" max="5" min="5" style="0" width="22.75"/>
    <col collapsed="false" customWidth="true" hidden="false" outlineLevel="0" max="7" min="6" style="0" width="15.63"/>
    <col collapsed="false" customWidth="true" hidden="false" outlineLevel="0" max="8" min="8" style="0" width="7.5"/>
    <col collapsed="false" customWidth="true" hidden="false" outlineLevel="0" max="9" min="9" style="0" width="5.13"/>
    <col collapsed="false" customWidth="true" hidden="false" outlineLevel="0" max="10" min="10" style="0" width="13.89"/>
    <col collapsed="false" customWidth="true" hidden="false" outlineLevel="0" max="11" min="11" style="0" width="13.33"/>
    <col collapsed="false" customWidth="true" hidden="false" outlineLevel="0" max="12" min="12" style="0" width="17.27"/>
    <col collapsed="false" customWidth="true" hidden="false" outlineLevel="0" max="13" min="13" style="0" width="7.57"/>
    <col collapsed="false" customWidth="true" hidden="false" outlineLevel="0" max="44" min="14" style="0" width="3.37"/>
    <col collapsed="false" customWidth="true" hidden="false" outlineLevel="0" max="1025" min="45" style="0" width="12.63"/>
  </cols>
  <sheetData>
    <row r="1" customFormat="false" ht="12.75" hidden="false" customHeight="true" outlineLevel="0" collapsed="false">
      <c r="A1" s="1" t="s">
        <v>0</v>
      </c>
      <c r="B1" s="1"/>
      <c r="C1" s="1"/>
      <c r="D1" s="2"/>
      <c r="E1" s="3" t="s">
        <v>1</v>
      </c>
      <c r="F1" s="4" t="s">
        <v>2</v>
      </c>
      <c r="G1" s="4" t="s">
        <v>3</v>
      </c>
      <c r="N1" s="4" t="s">
        <v>4</v>
      </c>
      <c r="O1" s="0" t="str">
        <f aca="false">IF(DAY(O2)=1,MONTH(O2),"")</f>
        <v/>
      </c>
      <c r="P1" s="0" t="str">
        <f aca="false">IF(DAY(P2)=1,MONTH(P2),"")</f>
        <v/>
      </c>
      <c r="Q1" s="0" t="str">
        <f aca="false">IF(DAY(Q2)=1,MONTH(Q2),"")</f>
        <v/>
      </c>
      <c r="R1" s="0" t="str">
        <f aca="false">IF(DAY(R2)=1,MONTH(R2),"")</f>
        <v/>
      </c>
      <c r="S1" s="0" t="str">
        <f aca="false">IF(DAY(S2)=1,MONTH(S2),"")</f>
        <v/>
      </c>
      <c r="T1" s="0" t="str">
        <f aca="false">IF(DAY(T2)=1,MONTH(T2),"")</f>
        <v/>
      </c>
      <c r="U1" s="0" t="str">
        <f aca="false">IF(DAY(U2)=1,MONTH(U2),"")</f>
        <v/>
      </c>
      <c r="V1" s="0" t="str">
        <f aca="false">IF(DAY(V2)=1,MONTH(V2),"")</f>
        <v/>
      </c>
      <c r="W1" s="0" t="str">
        <f aca="false">IF(DAY(W2)=1,MONTH(W2),"")</f>
        <v/>
      </c>
      <c r="X1" s="0" t="str">
        <f aca="false">IF(DAY(X2)=1,MONTH(X2),"")</f>
        <v/>
      </c>
      <c r="Y1" s="0" t="str">
        <f aca="false">IF(DAY(Y2)=1,MONTH(Y2),"")</f>
        <v/>
      </c>
      <c r="Z1" s="0" t="str">
        <f aca="false">IF(DAY(Z2)=1,MONTH(Z2),"")</f>
        <v/>
      </c>
      <c r="AA1" s="0" t="str">
        <f aca="false">IF(DAY(AA2)=1,MONTH(AA2),"")</f>
        <v/>
      </c>
      <c r="AB1" s="0" t="str">
        <f aca="false">IF(DAY(AB2)=1,MONTH(AB2),"")</f>
        <v/>
      </c>
      <c r="AC1" s="0" t="str">
        <f aca="false">IF(DAY(AC2)=1,MONTH(AC2),"")</f>
        <v/>
      </c>
      <c r="AD1" s="0" t="str">
        <f aca="false">IF(DAY(AD2)=1,MONTH(AD2),"")</f>
        <v/>
      </c>
      <c r="AE1" s="0" t="str">
        <f aca="false">IF(DAY(AE2)=1,MONTH(AE2),"")</f>
        <v/>
      </c>
      <c r="AF1" s="0" t="str">
        <f aca="false">IF(DAY(AF2)=1,MONTH(AF2),"")</f>
        <v/>
      </c>
      <c r="AG1" s="0" t="str">
        <f aca="false">IF(DAY(AG2)=1,MONTH(AG2),"")</f>
        <v/>
      </c>
      <c r="AH1" s="0" t="str">
        <f aca="false">IF(DAY(AH2)=1,MONTH(AH2),"")</f>
        <v/>
      </c>
      <c r="AI1" s="0" t="str">
        <f aca="false">IF(DAY(AI2)=1,MONTH(AI2),"")</f>
        <v/>
      </c>
      <c r="AJ1" s="0" t="str">
        <f aca="false">IF(DAY(AJ2)=1,MONTH(AJ2),"")</f>
        <v/>
      </c>
      <c r="AK1" s="0" t="str">
        <f aca="false">IF(DAY(AK2)=1,MONTH(AK2),"")</f>
        <v/>
      </c>
      <c r="AL1" s="0" t="str">
        <f aca="false">IF(DAY(AL2)=1,MONTH(AL2),"")</f>
        <v/>
      </c>
      <c r="AM1" s="0" t="str">
        <f aca="false">IF(DAY(AM2)=1,MONTH(AM2),"")</f>
        <v/>
      </c>
      <c r="AN1" s="0" t="str">
        <f aca="false">IF(DAY(AN2)=1,MONTH(AN2),"")</f>
        <v/>
      </c>
      <c r="AO1" s="0" t="str">
        <f aca="false">IF(DAY(AO2)=1,MONTH(AO2),"")</f>
        <v/>
      </c>
      <c r="AP1" s="0" t="str">
        <f aca="false">IF(DAY(AP2)=1,MONTH(AP2),"")</f>
        <v/>
      </c>
      <c r="AQ1" s="0" t="str">
        <f aca="false">IF(DAY(AQ2)=1,MONTH(AQ2),"")</f>
        <v/>
      </c>
      <c r="AR1" s="0" t="str">
        <f aca="false">IF(DAY(AR2)=1,MONTH(AR2),"")</f>
        <v/>
      </c>
    </row>
    <row r="2" customFormat="false" ht="12.75" hidden="false" customHeight="true" outlineLevel="0" collapsed="false">
      <c r="A2" s="5" t="s">
        <v>5</v>
      </c>
      <c r="B2" s="5" t="s">
        <v>6</v>
      </c>
      <c r="C2" s="5" t="s">
        <v>7</v>
      </c>
      <c r="D2" s="5" t="s">
        <v>8</v>
      </c>
      <c r="E2" s="5" t="s">
        <v>9</v>
      </c>
      <c r="F2" s="5" t="s">
        <v>10</v>
      </c>
      <c r="G2" s="5" t="s">
        <v>11</v>
      </c>
      <c r="H2" s="5" t="s">
        <v>12</v>
      </c>
      <c r="I2" s="5" t="s">
        <v>13</v>
      </c>
      <c r="J2" s="6" t="s">
        <v>14</v>
      </c>
      <c r="K2" s="6" t="s">
        <v>15</v>
      </c>
      <c r="L2" s="5" t="s">
        <v>16</v>
      </c>
      <c r="M2" s="7" t="s">
        <v>17</v>
      </c>
      <c r="N2" s="8" t="n">
        <f aca="false">DATE(YEAR(J4),MONTH(J4),1)</f>
        <v>43221</v>
      </c>
      <c r="O2" s="9" t="n">
        <f aca="false">N2+1</f>
        <v>43222</v>
      </c>
      <c r="P2" s="9" t="n">
        <f aca="false">O2+1</f>
        <v>43223</v>
      </c>
      <c r="Q2" s="9" t="n">
        <f aca="false">P2+1</f>
        <v>43224</v>
      </c>
      <c r="R2" s="9" t="n">
        <f aca="false">Q2+1</f>
        <v>43225</v>
      </c>
      <c r="S2" s="9" t="n">
        <f aca="false">R2+1</f>
        <v>43226</v>
      </c>
      <c r="T2" s="9" t="n">
        <f aca="false">S2+1</f>
        <v>43227</v>
      </c>
      <c r="U2" s="9" t="n">
        <f aca="false">T2+1</f>
        <v>43228</v>
      </c>
      <c r="V2" s="9" t="n">
        <f aca="false">U2+1</f>
        <v>43229</v>
      </c>
      <c r="W2" s="9" t="n">
        <f aca="false">V2+1</f>
        <v>43230</v>
      </c>
      <c r="X2" s="9" t="n">
        <f aca="false">W2+1</f>
        <v>43231</v>
      </c>
      <c r="Y2" s="9" t="n">
        <f aca="false">X2+1</f>
        <v>43232</v>
      </c>
      <c r="Z2" s="9" t="n">
        <f aca="false">Y2+1</f>
        <v>43233</v>
      </c>
      <c r="AA2" s="9" t="n">
        <f aca="false">Z2+1</f>
        <v>43234</v>
      </c>
      <c r="AB2" s="9" t="n">
        <f aca="false">AA2+1</f>
        <v>43235</v>
      </c>
      <c r="AC2" s="9" t="n">
        <f aca="false">AB2+1</f>
        <v>43236</v>
      </c>
      <c r="AD2" s="9" t="n">
        <f aca="false">AC2+1</f>
        <v>43237</v>
      </c>
      <c r="AE2" s="9" t="n">
        <f aca="false">AD2+1</f>
        <v>43238</v>
      </c>
      <c r="AF2" s="9" t="n">
        <f aca="false">AE2+1</f>
        <v>43239</v>
      </c>
      <c r="AG2" s="9" t="n">
        <f aca="false">AF2+1</f>
        <v>43240</v>
      </c>
      <c r="AH2" s="9" t="n">
        <f aca="false">AG2+1</f>
        <v>43241</v>
      </c>
      <c r="AI2" s="9" t="n">
        <f aca="false">AH2+1</f>
        <v>43242</v>
      </c>
      <c r="AJ2" s="9" t="n">
        <f aca="false">AI2+1</f>
        <v>43243</v>
      </c>
      <c r="AK2" s="9" t="n">
        <f aca="false">AJ2+1</f>
        <v>43244</v>
      </c>
      <c r="AL2" s="9" t="n">
        <f aca="false">AK2+1</f>
        <v>43245</v>
      </c>
      <c r="AM2" s="9" t="n">
        <f aca="false">AL2+1</f>
        <v>43246</v>
      </c>
      <c r="AN2" s="9" t="n">
        <f aca="false">AM2+1</f>
        <v>43247</v>
      </c>
      <c r="AO2" s="9" t="n">
        <f aca="false">AN2+1</f>
        <v>43248</v>
      </c>
      <c r="AP2" s="9" t="n">
        <f aca="false">AO2+1</f>
        <v>43249</v>
      </c>
      <c r="AQ2" s="9" t="n">
        <f aca="false">AP2+1</f>
        <v>43250</v>
      </c>
      <c r="AR2" s="9" t="n">
        <f aca="false">AQ2+1</f>
        <v>43251</v>
      </c>
    </row>
    <row r="3" customFormat="false" ht="12.75" hidden="false" customHeight="true" outlineLevel="0" collapsed="false">
      <c r="A3" s="5"/>
      <c r="B3" s="5"/>
      <c r="C3" s="5"/>
      <c r="D3" s="5"/>
      <c r="E3" s="5"/>
      <c r="F3" s="5"/>
      <c r="G3" s="5"/>
      <c r="H3" s="5"/>
      <c r="I3" s="5"/>
      <c r="J3" s="6" t="s">
        <v>18</v>
      </c>
      <c r="K3" s="6" t="s">
        <v>19</v>
      </c>
      <c r="L3" s="5"/>
      <c r="M3" s="7"/>
      <c r="N3" s="10" t="str">
        <f aca="false">TEXT(N2,"ddd")</f>
        <v>火</v>
      </c>
      <c r="O3" s="10" t="str">
        <f aca="false">TEXT(O2,"ddd")</f>
        <v>水</v>
      </c>
      <c r="P3" s="10" t="str">
        <f aca="false">TEXT(P2,"ddd")</f>
        <v>木</v>
      </c>
      <c r="Q3" s="10" t="str">
        <f aca="false">TEXT(Q2,"ddd")</f>
        <v>金</v>
      </c>
      <c r="R3" s="10" t="str">
        <f aca="false">TEXT(R2,"ddd")</f>
        <v>土</v>
      </c>
      <c r="S3" s="10" t="str">
        <f aca="false">TEXT(S2,"ddd")</f>
        <v>日</v>
      </c>
      <c r="T3" s="10" t="str">
        <f aca="false">TEXT(T2,"ddd")</f>
        <v>月</v>
      </c>
      <c r="U3" s="10" t="str">
        <f aca="false">TEXT(U2,"ddd")</f>
        <v>火</v>
      </c>
      <c r="V3" s="10" t="str">
        <f aca="false">TEXT(V2,"ddd")</f>
        <v>水</v>
      </c>
      <c r="W3" s="10" t="str">
        <f aca="false">TEXT(W2,"ddd")</f>
        <v>木</v>
      </c>
      <c r="X3" s="10" t="str">
        <f aca="false">TEXT(X2,"ddd")</f>
        <v>金</v>
      </c>
      <c r="Y3" s="10" t="str">
        <f aca="false">TEXT(Y2,"ddd")</f>
        <v>土</v>
      </c>
      <c r="Z3" s="10" t="str">
        <f aca="false">TEXT(Z2,"ddd")</f>
        <v>日</v>
      </c>
      <c r="AA3" s="10" t="str">
        <f aca="false">TEXT(AA2,"ddd")</f>
        <v>月</v>
      </c>
      <c r="AB3" s="10" t="str">
        <f aca="false">TEXT(AB2,"ddd")</f>
        <v>火</v>
      </c>
      <c r="AC3" s="10" t="str">
        <f aca="false">TEXT(AC2,"ddd")</f>
        <v>水</v>
      </c>
      <c r="AD3" s="10" t="str">
        <f aca="false">TEXT(AD2,"ddd")</f>
        <v>木</v>
      </c>
      <c r="AE3" s="10" t="str">
        <f aca="false">TEXT(AE2,"ddd")</f>
        <v>金</v>
      </c>
      <c r="AF3" s="10" t="str">
        <f aca="false">TEXT(AF2,"ddd")</f>
        <v>土</v>
      </c>
      <c r="AG3" s="10" t="str">
        <f aca="false">TEXT(AG2,"ddd")</f>
        <v>日</v>
      </c>
      <c r="AH3" s="10" t="str">
        <f aca="false">TEXT(AH2,"ddd")</f>
        <v>月</v>
      </c>
      <c r="AI3" s="10" t="str">
        <f aca="false">TEXT(AI2,"ddd")</f>
        <v>火</v>
      </c>
      <c r="AJ3" s="10" t="str">
        <f aca="false">TEXT(AJ2,"ddd")</f>
        <v>水</v>
      </c>
      <c r="AK3" s="10" t="str">
        <f aca="false">TEXT(AK2,"ddd")</f>
        <v>木</v>
      </c>
      <c r="AL3" s="10" t="str">
        <f aca="false">TEXT(AL2,"ddd")</f>
        <v>金</v>
      </c>
      <c r="AM3" s="10" t="str">
        <f aca="false">TEXT(AM2,"ddd")</f>
        <v>土</v>
      </c>
      <c r="AN3" s="10" t="str">
        <f aca="false">TEXT(AN2,"ddd")</f>
        <v>日</v>
      </c>
      <c r="AO3" s="10" t="str">
        <f aca="false">TEXT(AO2,"ddd")</f>
        <v>月</v>
      </c>
      <c r="AP3" s="10" t="str">
        <f aca="false">TEXT(AP2,"ddd")</f>
        <v>火</v>
      </c>
      <c r="AQ3" s="10" t="str">
        <f aca="false">TEXT(AQ2,"ddd")</f>
        <v>水</v>
      </c>
      <c r="AR3" s="10" t="str">
        <f aca="false">TEXT(AR2,"ddd")</f>
        <v>木</v>
      </c>
    </row>
    <row r="4" customFormat="false" ht="12.75" hidden="false" customHeight="true" outlineLevel="0" collapsed="false">
      <c r="A4" s="11"/>
      <c r="B4" s="11" t="s">
        <v>20</v>
      </c>
      <c r="C4" s="11" t="s">
        <v>21</v>
      </c>
      <c r="D4" s="11"/>
      <c r="E4" s="11" t="s">
        <v>21</v>
      </c>
      <c r="F4" s="11" t="s">
        <v>21</v>
      </c>
      <c r="G4" s="11"/>
      <c r="H4" s="12" t="s">
        <v>21</v>
      </c>
      <c r="I4" s="13"/>
      <c r="J4" s="14" t="n">
        <v>43221</v>
      </c>
      <c r="K4" s="14" t="n">
        <v>43251</v>
      </c>
      <c r="L4" s="14"/>
      <c r="M4" s="15" t="n">
        <f aca="true">IF(AND($J4&lt;&gt;"",$K4&lt;&gt;""),DATEDIF(TODAY(),K4,"d"),"未定")</f>
        <v>24</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row>
    <row r="5" customFormat="false" ht="12.75" hidden="false" customHeight="true" outlineLevel="0" collapsed="false">
      <c r="A5" s="11"/>
      <c r="B5" s="11"/>
      <c r="C5" s="11"/>
      <c r="D5" s="11"/>
      <c r="E5" s="11"/>
      <c r="F5" s="11"/>
      <c r="G5" s="11"/>
      <c r="H5" s="12"/>
      <c r="I5" s="13"/>
      <c r="J5" s="14"/>
      <c r="K5" s="14"/>
      <c r="L5" s="14"/>
      <c r="M5" s="15"/>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row>
    <row r="6" customFormat="false" ht="12.75" hidden="false" customHeight="true" outlineLevel="0" collapsed="false">
      <c r="A6" s="11" t="n">
        <v>1</v>
      </c>
      <c r="B6" s="11" t="s">
        <v>22</v>
      </c>
      <c r="C6" s="11" t="s">
        <v>23</v>
      </c>
      <c r="D6" s="16"/>
      <c r="E6" s="17"/>
      <c r="F6" s="11"/>
      <c r="G6" s="18"/>
      <c r="H6" s="11"/>
      <c r="I6" s="19"/>
      <c r="J6" s="14"/>
      <c r="K6" s="14"/>
      <c r="L6" s="14"/>
      <c r="M6" s="15"/>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row>
    <row r="7" customFormat="false" ht="12.75" hidden="false" customHeight="true" outlineLevel="0" collapsed="false">
      <c r="A7" s="11"/>
      <c r="B7" s="11"/>
      <c r="C7" s="11"/>
      <c r="D7" s="11"/>
      <c r="E7" s="11"/>
      <c r="F7" s="11"/>
      <c r="G7" s="18"/>
      <c r="H7" s="11"/>
      <c r="I7" s="19"/>
      <c r="J7" s="14"/>
      <c r="K7" s="14"/>
      <c r="L7" s="14"/>
      <c r="M7" s="15"/>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row>
    <row r="8" customFormat="false" ht="12.75" hidden="false" customHeight="true" outlineLevel="0" collapsed="false">
      <c r="A8" s="11" t="n">
        <v>2</v>
      </c>
      <c r="B8" s="20"/>
      <c r="C8" s="20"/>
      <c r="D8" s="16" t="s">
        <v>24</v>
      </c>
      <c r="E8" s="17" t="s">
        <v>25</v>
      </c>
      <c r="F8" s="11" t="s">
        <v>26</v>
      </c>
      <c r="G8" s="18" t="s">
        <v>27</v>
      </c>
      <c r="H8" s="11" t="s">
        <v>28</v>
      </c>
      <c r="I8" s="19"/>
      <c r="J8" s="14" t="n">
        <v>43227</v>
      </c>
      <c r="K8" s="14" t="n">
        <v>43231</v>
      </c>
      <c r="L8" s="21" t="n">
        <f aca="false">DATEDIF(J8,K8,"d")</f>
        <v>4</v>
      </c>
      <c r="M8" s="15" t="n">
        <f aca="true">IF(AND($J8&lt;&gt;"",$K8&lt;&gt;""),DATEDIF(TODAY(),K8,"d"),"未定")</f>
        <v>4</v>
      </c>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row>
    <row r="9" customFormat="false" ht="12.75" hidden="false" customHeight="true" outlineLevel="0" collapsed="false">
      <c r="A9" s="11"/>
      <c r="B9" s="20"/>
      <c r="C9" s="20"/>
      <c r="D9" s="16"/>
      <c r="E9" s="16"/>
      <c r="F9" s="16"/>
      <c r="G9" s="18"/>
      <c r="H9" s="11"/>
      <c r="I9" s="19"/>
      <c r="J9" s="14"/>
      <c r="K9" s="14"/>
      <c r="L9" s="21" t="n">
        <f aca="false">DATEDIF(J9,K9,"d")</f>
        <v>0</v>
      </c>
      <c r="M9" s="15"/>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2.75" hidden="false" customHeight="true" outlineLevel="0" collapsed="false">
      <c r="A10" s="11" t="n">
        <v>3</v>
      </c>
      <c r="B10" s="22"/>
      <c r="C10" s="22"/>
      <c r="D10" s="16" t="s">
        <v>24</v>
      </c>
      <c r="E10" s="23" t="s">
        <v>29</v>
      </c>
      <c r="F10" s="11" t="s">
        <v>30</v>
      </c>
      <c r="G10" s="11" t="s">
        <v>27</v>
      </c>
      <c r="H10" s="11" t="s">
        <v>28</v>
      </c>
      <c r="I10" s="13"/>
      <c r="J10" s="14" t="n">
        <v>43227</v>
      </c>
      <c r="K10" s="14" t="n">
        <v>43230</v>
      </c>
      <c r="L10" s="21" t="n">
        <f aca="false">DATEDIF(J10,K10,"d")</f>
        <v>3</v>
      </c>
      <c r="M10" s="15" t="n">
        <f aca="true">IF(AND($J10&lt;&gt;"",$K10&lt;&gt;""),DATEDIF(TODAY(),K10,"d"),"未定")</f>
        <v>3</v>
      </c>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row>
    <row r="11" customFormat="false" ht="12.75" hidden="false" customHeight="true" outlineLevel="0" collapsed="false">
      <c r="A11" s="11"/>
      <c r="B11" s="22"/>
      <c r="C11" s="22"/>
      <c r="D11" s="16"/>
      <c r="E11" s="23"/>
      <c r="F11" s="11"/>
      <c r="G11" s="11"/>
      <c r="H11" s="11"/>
      <c r="I11" s="11"/>
      <c r="J11" s="14"/>
      <c r="K11" s="14"/>
      <c r="L11" s="21" t="n">
        <f aca="false">DATEDIF(J11,K11,"d")</f>
        <v>0</v>
      </c>
      <c r="M11" s="15"/>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row>
    <row r="12" customFormat="false" ht="12.75" hidden="false" customHeight="true" outlineLevel="0" collapsed="false">
      <c r="A12" s="11" t="n">
        <v>4</v>
      </c>
      <c r="B12" s="12"/>
      <c r="C12" s="12"/>
      <c r="D12" s="16" t="s">
        <v>24</v>
      </c>
      <c r="E12" s="24" t="s">
        <v>31</v>
      </c>
      <c r="F12" s="11" t="s">
        <v>32</v>
      </c>
      <c r="G12" s="11" t="s">
        <v>27</v>
      </c>
      <c r="H12" s="11" t="s">
        <v>28</v>
      </c>
      <c r="I12" s="13"/>
      <c r="J12" s="14" t="n">
        <v>43227</v>
      </c>
      <c r="K12" s="14" t="n">
        <v>43228</v>
      </c>
      <c r="L12" s="21" t="n">
        <f aca="false">DATEDIF(J12,K12,"d")</f>
        <v>1</v>
      </c>
      <c r="M12" s="15" t="n">
        <f aca="true">IF(AND($J12&lt;&gt;"",$K12&lt;&gt;""),DATEDIF(TODAY(),K12,"d"),"未定")</f>
        <v>1</v>
      </c>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row>
    <row r="13" customFormat="false" ht="12.75" hidden="false" customHeight="true" outlineLevel="0" collapsed="false">
      <c r="A13" s="11"/>
      <c r="B13" s="12"/>
      <c r="C13" s="12"/>
      <c r="D13" s="16"/>
      <c r="E13" s="24"/>
      <c r="F13" s="11"/>
      <c r="G13" s="11"/>
      <c r="H13" s="11"/>
      <c r="I13" s="11"/>
      <c r="J13" s="14"/>
      <c r="K13" s="14"/>
      <c r="L13" s="21" t="n">
        <f aca="false">DATEDIF(J13,K13,"d")</f>
        <v>0</v>
      </c>
      <c r="M13" s="15"/>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row>
    <row r="14" customFormat="false" ht="12.75" hidden="false" customHeight="true" outlineLevel="0" collapsed="false">
      <c r="A14" s="11" t="n">
        <v>5</v>
      </c>
      <c r="B14" s="25"/>
      <c r="C14" s="25"/>
      <c r="D14" s="26" t="s">
        <v>24</v>
      </c>
      <c r="E14" s="27" t="s">
        <v>33</v>
      </c>
      <c r="F14" s="11" t="s">
        <v>32</v>
      </c>
      <c r="G14" s="11" t="s">
        <v>34</v>
      </c>
      <c r="H14" s="11" t="s">
        <v>28</v>
      </c>
      <c r="I14" s="13"/>
      <c r="J14" s="14" t="n">
        <v>43228</v>
      </c>
      <c r="K14" s="14" t="n">
        <v>43229</v>
      </c>
      <c r="L14" s="21" t="n">
        <f aca="false">DATEDIF(J14,K14,"d")</f>
        <v>1</v>
      </c>
      <c r="M14" s="15" t="n">
        <f aca="true">IF(AND($J14&lt;&gt;"",$K14&lt;&gt;""),DATEDIF(TODAY(),K14,"d"),"未定")</f>
        <v>2</v>
      </c>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row>
    <row r="15" customFormat="false" ht="12.75" hidden="false" customHeight="true" outlineLevel="0" collapsed="false">
      <c r="A15" s="11"/>
      <c r="B15" s="25"/>
      <c r="C15" s="25"/>
      <c r="D15" s="26"/>
      <c r="E15" s="27"/>
      <c r="F15" s="11"/>
      <c r="G15" s="11"/>
      <c r="H15" s="11"/>
      <c r="I15" s="11"/>
      <c r="J15" s="14"/>
      <c r="K15" s="14"/>
      <c r="L15" s="21" t="n">
        <f aca="false">DATEDIF(J15,K15,"d")</f>
        <v>0</v>
      </c>
      <c r="M15" s="15"/>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row>
    <row r="16" customFormat="false" ht="12.75" hidden="false" customHeight="true" outlineLevel="0" collapsed="false">
      <c r="A16" s="11" t="n">
        <v>6</v>
      </c>
      <c r="B16" s="28"/>
      <c r="C16" s="28"/>
      <c r="D16" s="16" t="s">
        <v>24</v>
      </c>
      <c r="E16" s="29" t="s">
        <v>35</v>
      </c>
      <c r="F16" s="11" t="s">
        <v>32</v>
      </c>
      <c r="G16" s="11" t="s">
        <v>34</v>
      </c>
      <c r="H16" s="11" t="s">
        <v>28</v>
      </c>
      <c r="I16" s="13"/>
      <c r="J16" s="14" t="n">
        <v>43229</v>
      </c>
      <c r="K16" s="14" t="n">
        <v>43230</v>
      </c>
      <c r="L16" s="21" t="n">
        <f aca="false">DATEDIF(J16,K16,"d")</f>
        <v>1</v>
      </c>
      <c r="M16" s="15" t="n">
        <f aca="true">IF(AND($J16&lt;&gt;"",$K16&lt;&gt;""),DATEDIF(TODAY(),K16,"d"),"未定")</f>
        <v>3</v>
      </c>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row>
    <row r="17" customFormat="false" ht="12.75" hidden="false" customHeight="true" outlineLevel="0" collapsed="false">
      <c r="A17" s="11"/>
      <c r="B17" s="28"/>
      <c r="C17" s="28"/>
      <c r="D17" s="16"/>
      <c r="E17" s="29"/>
      <c r="F17" s="11"/>
      <c r="G17" s="11"/>
      <c r="H17" s="11"/>
      <c r="I17" s="11"/>
      <c r="J17" s="14"/>
      <c r="K17" s="14"/>
      <c r="L17" s="21" t="n">
        <f aca="false">DATEDIF(J17,K17,"d")</f>
        <v>0</v>
      </c>
      <c r="M17" s="15"/>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row>
    <row r="18" customFormat="false" ht="12.75" hidden="false" customHeight="true" outlineLevel="0" collapsed="false">
      <c r="A18" s="11" t="n">
        <v>8</v>
      </c>
      <c r="B18" s="25"/>
      <c r="C18" s="25"/>
      <c r="D18" s="16" t="s">
        <v>24</v>
      </c>
      <c r="E18" s="27" t="s">
        <v>36</v>
      </c>
      <c r="F18" s="11" t="s">
        <v>37</v>
      </c>
      <c r="G18" s="30" t="s">
        <v>27</v>
      </c>
      <c r="H18" s="11" t="s">
        <v>28</v>
      </c>
      <c r="I18" s="13"/>
      <c r="J18" s="14" t="n">
        <v>43227</v>
      </c>
      <c r="K18" s="31" t="n">
        <v>43229</v>
      </c>
      <c r="L18" s="21" t="n">
        <f aca="false">DATEDIF(J18,K18,"d")</f>
        <v>2</v>
      </c>
      <c r="M18" s="15" t="n">
        <f aca="true">IF(AND($J18&lt;&gt;"",$K18&lt;&gt;""),DATEDIF(TODAY(),K18,"d"),"未定")</f>
        <v>2</v>
      </c>
      <c r="N18" s="9"/>
      <c r="O18" s="9"/>
      <c r="P18" s="9"/>
      <c r="Q18" s="9"/>
      <c r="R18" s="9"/>
      <c r="S18" s="9"/>
      <c r="T18" s="9"/>
      <c r="U18" s="9"/>
      <c r="V18" s="9"/>
      <c r="W18" s="9"/>
      <c r="X18" s="9"/>
      <c r="Y18" s="32"/>
      <c r="Z18" s="9"/>
      <c r="AA18" s="9"/>
      <c r="AB18" s="9"/>
      <c r="AC18" s="9"/>
      <c r="AD18" s="9"/>
      <c r="AE18" s="9"/>
      <c r="AF18" s="9"/>
      <c r="AG18" s="9"/>
      <c r="AH18" s="9"/>
      <c r="AI18" s="9"/>
      <c r="AJ18" s="9"/>
      <c r="AK18" s="9"/>
      <c r="AL18" s="9"/>
      <c r="AM18" s="9"/>
      <c r="AN18" s="9"/>
      <c r="AO18" s="9"/>
      <c r="AP18" s="9"/>
      <c r="AQ18" s="9"/>
      <c r="AR18" s="9"/>
    </row>
    <row r="19" customFormat="false" ht="12.75" hidden="false" customHeight="true" outlineLevel="0" collapsed="false">
      <c r="A19" s="11"/>
      <c r="B19" s="25"/>
      <c r="C19" s="25"/>
      <c r="D19" s="16"/>
      <c r="E19" s="27"/>
      <c r="F19" s="11"/>
      <c r="G19" s="30"/>
      <c r="H19" s="11"/>
      <c r="I19" s="11"/>
      <c r="J19" s="14"/>
      <c r="K19" s="14"/>
      <c r="L19" s="21" t="n">
        <f aca="false">DATEDIF(J19,K19,"d")</f>
        <v>0</v>
      </c>
      <c r="M19" s="15"/>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row>
    <row r="20" customFormat="false" ht="12.75" hidden="false" customHeight="true" outlineLevel="0" collapsed="false">
      <c r="A20" s="11" t="n">
        <v>9</v>
      </c>
      <c r="B20" s="22"/>
      <c r="C20" s="22"/>
      <c r="D20" s="16" t="s">
        <v>24</v>
      </c>
      <c r="E20" s="33" t="s">
        <v>38</v>
      </c>
      <c r="F20" s="11" t="s">
        <v>39</v>
      </c>
      <c r="G20" s="34" t="s">
        <v>27</v>
      </c>
      <c r="H20" s="11" t="s">
        <v>28</v>
      </c>
      <c r="I20" s="13"/>
      <c r="J20" s="14" t="n">
        <v>43227</v>
      </c>
      <c r="K20" s="14" t="n">
        <v>43228</v>
      </c>
      <c r="L20" s="21" t="n">
        <f aca="false">DATEDIF(J20,K20,"d")</f>
        <v>1</v>
      </c>
      <c r="M20" s="15" t="n">
        <f aca="true">IF(AND($J20&lt;&gt;"",$K20&lt;&gt;""),DATEDIF(TODAY(),K20,"d"),"未定")</f>
        <v>1</v>
      </c>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row>
    <row r="21" customFormat="false" ht="12.75" hidden="false" customHeight="true" outlineLevel="0" collapsed="false">
      <c r="A21" s="11"/>
      <c r="B21" s="22"/>
      <c r="C21" s="22"/>
      <c r="D21" s="16"/>
      <c r="E21" s="33"/>
      <c r="F21" s="11"/>
      <c r="G21" s="11"/>
      <c r="H21" s="11"/>
      <c r="I21" s="11"/>
      <c r="J21" s="14"/>
      <c r="K21" s="14"/>
      <c r="L21" s="21" t="n">
        <f aca="false">DATEDIF(J21,K21,"d")</f>
        <v>0</v>
      </c>
      <c r="M21" s="15"/>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row>
    <row r="22" customFormat="false" ht="12.75" hidden="false" customHeight="true" outlineLevel="0" collapsed="false">
      <c r="A22" s="11" t="n">
        <v>10</v>
      </c>
      <c r="B22" s="12"/>
      <c r="C22" s="12"/>
      <c r="D22" s="16" t="s">
        <v>24</v>
      </c>
      <c r="E22" s="24" t="s">
        <v>40</v>
      </c>
      <c r="F22" s="11" t="s">
        <v>41</v>
      </c>
      <c r="G22" s="11" t="s">
        <v>34</v>
      </c>
      <c r="H22" s="11" t="s">
        <v>28</v>
      </c>
      <c r="I22" s="13"/>
      <c r="J22" s="14" t="n">
        <v>43227</v>
      </c>
      <c r="K22" s="31" t="n">
        <v>43231</v>
      </c>
      <c r="L22" s="21" t="n">
        <f aca="false">DATEDIF(J22,K22,"d")</f>
        <v>4</v>
      </c>
      <c r="M22" s="15" t="n">
        <f aca="true">IF(AND($J22&lt;&gt;"",$K22&lt;&gt;""),DATEDIF(TODAY(),K22,"d"),"未定")</f>
        <v>4</v>
      </c>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row>
    <row r="23" customFormat="false" ht="12.75" hidden="false" customHeight="true" outlineLevel="0" collapsed="false">
      <c r="A23" s="11"/>
      <c r="B23" s="12"/>
      <c r="C23" s="12"/>
      <c r="D23" s="16"/>
      <c r="E23" s="24"/>
      <c r="F23" s="11"/>
      <c r="G23" s="11"/>
      <c r="H23" s="11"/>
      <c r="I23" s="11"/>
      <c r="J23" s="14"/>
      <c r="K23" s="14"/>
      <c r="L23" s="21" t="n">
        <f aca="false">DATEDIF(J23,K23,"d")</f>
        <v>0</v>
      </c>
      <c r="M23" s="15"/>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row>
    <row r="24" customFormat="false" ht="12.75" hidden="false" customHeight="true" outlineLevel="0" collapsed="false">
      <c r="A24" s="11" t="n">
        <v>12</v>
      </c>
      <c r="B24" s="12"/>
      <c r="C24" s="12"/>
      <c r="D24" s="16" t="s">
        <v>24</v>
      </c>
      <c r="E24" s="24" t="s">
        <v>42</v>
      </c>
      <c r="F24" s="11" t="s">
        <v>43</v>
      </c>
      <c r="G24" s="11" t="s">
        <v>34</v>
      </c>
      <c r="H24" s="11" t="s">
        <v>28</v>
      </c>
      <c r="I24" s="13"/>
      <c r="J24" s="14" t="n">
        <v>43227</v>
      </c>
      <c r="K24" s="14" t="n">
        <v>43229</v>
      </c>
      <c r="L24" s="21" t="n">
        <f aca="false">DATEDIF(J24,K24,"d")</f>
        <v>2</v>
      </c>
      <c r="M24" s="15" t="n">
        <f aca="true">IF(AND($J24&lt;&gt;"",$K24&lt;&gt;""),DATEDIF(TODAY(),K24,"d"),"未定")</f>
        <v>2</v>
      </c>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row>
    <row r="25" customFormat="false" ht="12.75" hidden="false" customHeight="true" outlineLevel="0" collapsed="false">
      <c r="A25" s="11"/>
      <c r="B25" s="12"/>
      <c r="C25" s="12"/>
      <c r="D25" s="16"/>
      <c r="E25" s="24"/>
      <c r="F25" s="11"/>
      <c r="G25" s="11"/>
      <c r="H25" s="11"/>
      <c r="I25" s="11"/>
      <c r="J25" s="14"/>
      <c r="K25" s="14"/>
      <c r="L25" s="21" t="n">
        <f aca="false">DATEDIF(J25,K25,"d")</f>
        <v>0</v>
      </c>
      <c r="M25" s="15"/>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row>
    <row r="26" customFormat="false" ht="12.75" hidden="false" customHeight="true" outlineLevel="0" collapsed="false">
      <c r="A26" s="11" t="n">
        <v>13</v>
      </c>
      <c r="B26" s="12"/>
      <c r="C26" s="12"/>
      <c r="D26" s="16" t="s">
        <v>24</v>
      </c>
      <c r="E26" s="24" t="s">
        <v>44</v>
      </c>
      <c r="F26" s="11" t="s">
        <v>37</v>
      </c>
      <c r="G26" s="11" t="s">
        <v>34</v>
      </c>
      <c r="H26" s="11" t="s">
        <v>28</v>
      </c>
      <c r="I26" s="13"/>
      <c r="J26" s="14" t="n">
        <v>43229</v>
      </c>
      <c r="K26" s="14" t="n">
        <v>43231</v>
      </c>
      <c r="L26" s="21" t="n">
        <f aca="false">DATEDIF(J26,K26,"d")</f>
        <v>2</v>
      </c>
      <c r="M26" s="15" t="n">
        <f aca="true">IF(AND($J26&lt;&gt;"",$K26&lt;&gt;""),DATEDIF(TODAY(),K26,"d"),"未定")</f>
        <v>4</v>
      </c>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row>
    <row r="27" customFormat="false" ht="12.75" hidden="false" customHeight="true" outlineLevel="0" collapsed="false">
      <c r="A27" s="11"/>
      <c r="B27" s="12"/>
      <c r="C27" s="12"/>
      <c r="D27" s="16"/>
      <c r="E27" s="24"/>
      <c r="F27" s="11"/>
      <c r="G27" s="11"/>
      <c r="H27" s="11"/>
      <c r="I27" s="11"/>
      <c r="J27" s="14"/>
      <c r="K27" s="14"/>
      <c r="L27" s="21" t="n">
        <f aca="false">DATEDIF(J27,K27,"d")</f>
        <v>0</v>
      </c>
      <c r="M27" s="15"/>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row>
    <row r="28" customFormat="false" ht="12.75" hidden="false" customHeight="true" outlineLevel="0" collapsed="false">
      <c r="A28" s="11" t="n">
        <v>14</v>
      </c>
      <c r="B28" s="12"/>
      <c r="C28" s="12"/>
      <c r="D28" s="16" t="s">
        <v>24</v>
      </c>
      <c r="E28" s="24" t="s">
        <v>45</v>
      </c>
      <c r="F28" s="11" t="s">
        <v>46</v>
      </c>
      <c r="G28" s="11" t="s">
        <v>47</v>
      </c>
      <c r="H28" s="11" t="s">
        <v>28</v>
      </c>
      <c r="I28" s="13"/>
      <c r="J28" s="14" t="n">
        <v>43224</v>
      </c>
      <c r="K28" s="14" t="n">
        <v>43231</v>
      </c>
      <c r="L28" s="21" t="n">
        <f aca="false">DATEDIF(J28,K28,"d")</f>
        <v>7</v>
      </c>
      <c r="M28" s="15" t="n">
        <f aca="true">IF(AND($J28&lt;&gt;"",$K28&lt;&gt;""),DATEDIF(TODAY(),K28,"d"),"未定")</f>
        <v>4</v>
      </c>
      <c r="N28" s="9"/>
      <c r="O28" s="9"/>
      <c r="P28" s="9"/>
      <c r="Q28" s="35"/>
      <c r="R28" s="35"/>
      <c r="S28" s="35"/>
      <c r="T28" s="35"/>
      <c r="U28" s="9"/>
      <c r="V28" s="9"/>
      <c r="W28" s="9"/>
      <c r="X28" s="9"/>
      <c r="Y28" s="9"/>
      <c r="Z28" s="9"/>
      <c r="AA28" s="9"/>
      <c r="AB28" s="9"/>
      <c r="AC28" s="9"/>
      <c r="AD28" s="9"/>
      <c r="AE28" s="9"/>
      <c r="AF28" s="9"/>
      <c r="AG28" s="9"/>
      <c r="AH28" s="9"/>
      <c r="AI28" s="9"/>
      <c r="AJ28" s="9"/>
      <c r="AK28" s="9"/>
      <c r="AL28" s="9"/>
      <c r="AM28" s="9"/>
      <c r="AN28" s="9"/>
      <c r="AO28" s="9"/>
      <c r="AP28" s="9"/>
      <c r="AQ28" s="9"/>
      <c r="AR28" s="9"/>
    </row>
    <row r="29" customFormat="false" ht="12.75" hidden="false" customHeight="true" outlineLevel="0" collapsed="false">
      <c r="A29" s="11"/>
      <c r="B29" s="12"/>
      <c r="C29" s="12"/>
      <c r="D29" s="16"/>
      <c r="E29" s="24"/>
      <c r="F29" s="11"/>
      <c r="G29" s="11"/>
      <c r="H29" s="11"/>
      <c r="I29" s="11"/>
      <c r="J29" s="14"/>
      <c r="K29" s="14"/>
      <c r="L29" s="21" t="n">
        <f aca="false">DATEDIF(J29,K29,"d")</f>
        <v>0</v>
      </c>
      <c r="M29" s="15"/>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row>
    <row r="30" customFormat="false" ht="14.25" hidden="false" customHeight="true" outlineLevel="0" collapsed="false">
      <c r="A30" s="11" t="n">
        <v>15</v>
      </c>
      <c r="B30" s="12"/>
      <c r="C30" s="12"/>
      <c r="D30" s="16" t="s">
        <v>24</v>
      </c>
      <c r="E30" s="24" t="s">
        <v>48</v>
      </c>
      <c r="F30" s="11" t="s">
        <v>46</v>
      </c>
      <c r="G30" s="11" t="s">
        <v>47</v>
      </c>
      <c r="H30" s="11" t="s">
        <v>28</v>
      </c>
      <c r="I30" s="13"/>
      <c r="J30" s="14" t="n">
        <v>43227</v>
      </c>
      <c r="K30" s="31" t="n">
        <v>43230</v>
      </c>
      <c r="L30" s="21" t="n">
        <f aca="false">DATEDIF(J30,K30,"d")</f>
        <v>3</v>
      </c>
      <c r="M30" s="15" t="n">
        <f aca="true">IF(AND($J30&lt;&gt;"",$K30&lt;&gt;""),DATEDIF(TODAY(),K30,"d"),"未定")</f>
        <v>3</v>
      </c>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row>
    <row r="31" customFormat="false" ht="12.75" hidden="false" customHeight="true" outlineLevel="0" collapsed="false">
      <c r="A31" s="11"/>
      <c r="B31" s="12"/>
      <c r="C31" s="12"/>
      <c r="D31" s="16"/>
      <c r="E31" s="24"/>
      <c r="F31" s="11"/>
      <c r="G31" s="11"/>
      <c r="H31" s="11"/>
      <c r="I31" s="11"/>
      <c r="J31" s="14"/>
      <c r="K31" s="14"/>
      <c r="L31" s="21" t="n">
        <f aca="false">DATEDIF(J31,K31,"d")</f>
        <v>0</v>
      </c>
      <c r="M31" s="15"/>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row>
    <row r="32" customFormat="false" ht="12.75" hidden="false" customHeight="true" outlineLevel="0" collapsed="false">
      <c r="A32" s="11" t="n">
        <v>16</v>
      </c>
      <c r="B32" s="12"/>
      <c r="C32" s="12"/>
      <c r="D32" s="16" t="s">
        <v>24</v>
      </c>
      <c r="E32" s="24" t="s">
        <v>49</v>
      </c>
      <c r="F32" s="11" t="s">
        <v>39</v>
      </c>
      <c r="G32" s="11" t="s">
        <v>47</v>
      </c>
      <c r="H32" s="11" t="s">
        <v>28</v>
      </c>
      <c r="I32" s="13"/>
      <c r="J32" s="14" t="n">
        <v>43227</v>
      </c>
      <c r="K32" s="31" t="n">
        <v>43231</v>
      </c>
      <c r="L32" s="21" t="n">
        <f aca="false">DATEDIF(J32,K32,"d")</f>
        <v>4</v>
      </c>
      <c r="M32" s="15" t="n">
        <f aca="true">IF(AND($J32&lt;&gt;"",$K32&lt;&gt;""),DATEDIF(TODAY(),K32,"d"),"未定")</f>
        <v>4</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row>
    <row r="33" customFormat="false" ht="12.75" hidden="false" customHeight="true" outlineLevel="0" collapsed="false">
      <c r="A33" s="11"/>
      <c r="B33" s="12"/>
      <c r="C33" s="12"/>
      <c r="D33" s="16"/>
      <c r="E33" s="24"/>
      <c r="F33" s="11"/>
      <c r="G33" s="11"/>
      <c r="H33" s="11"/>
      <c r="I33" s="11"/>
      <c r="J33" s="14"/>
      <c r="K33" s="14"/>
      <c r="L33" s="21" t="n">
        <f aca="false">DATEDIF(J33,K33,"d")</f>
        <v>0</v>
      </c>
      <c r="M33" s="15"/>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row>
    <row r="34" customFormat="false" ht="12.75" hidden="false" customHeight="true" outlineLevel="0" collapsed="false">
      <c r="A34" s="11" t="n">
        <v>17</v>
      </c>
      <c r="B34" s="12"/>
      <c r="C34" s="12"/>
      <c r="D34" s="16" t="s">
        <v>24</v>
      </c>
      <c r="E34" s="36" t="s">
        <v>50</v>
      </c>
      <c r="F34" s="37" t="s">
        <v>37</v>
      </c>
      <c r="G34" s="37" t="s">
        <v>27</v>
      </c>
      <c r="H34" s="11" t="s">
        <v>28</v>
      </c>
      <c r="I34" s="13"/>
      <c r="J34" s="14" t="n">
        <v>43228</v>
      </c>
      <c r="K34" s="14" t="n">
        <v>43230</v>
      </c>
      <c r="L34" s="21" t="n">
        <f aca="false">DATEDIF(J34,K34,"d")</f>
        <v>2</v>
      </c>
      <c r="M34" s="15" t="n">
        <f aca="true">IF(AND($J34&lt;&gt;"",$K34&lt;&gt;""),DATEDIF(TODAY(),K34,"d"),"未定")</f>
        <v>3</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row>
    <row r="35" customFormat="false" ht="12.75" hidden="false" customHeight="true" outlineLevel="0" collapsed="false">
      <c r="A35" s="11"/>
      <c r="B35" s="12"/>
      <c r="C35" s="12"/>
      <c r="D35" s="16"/>
      <c r="E35" s="36"/>
      <c r="F35" s="37"/>
      <c r="G35" s="37"/>
      <c r="H35" s="37"/>
      <c r="I35" s="37"/>
      <c r="J35" s="14"/>
      <c r="K35" s="14"/>
      <c r="L35" s="21" t="n">
        <f aca="false">DATEDIF(J35,K35,"d")</f>
        <v>0</v>
      </c>
      <c r="M35" s="15"/>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row>
    <row r="36" customFormat="false" ht="12.75" hidden="false" customHeight="true" outlineLevel="0" collapsed="false">
      <c r="A36" s="11" t="n">
        <v>19</v>
      </c>
      <c r="B36" s="12"/>
      <c r="C36" s="12"/>
      <c r="D36" s="26" t="s">
        <v>24</v>
      </c>
      <c r="E36" s="24" t="s">
        <v>51</v>
      </c>
      <c r="F36" s="11" t="s">
        <v>52</v>
      </c>
      <c r="G36" s="11" t="s">
        <v>47</v>
      </c>
      <c r="H36" s="11" t="s">
        <v>28</v>
      </c>
      <c r="I36" s="13"/>
      <c r="J36" s="14" t="n">
        <v>43221</v>
      </c>
      <c r="K36" s="14" t="n">
        <v>43231</v>
      </c>
      <c r="L36" s="21" t="n">
        <f aca="false">DATEDIF(J36,K36,"d")</f>
        <v>10</v>
      </c>
      <c r="M36" s="15" t="n">
        <f aca="true">IF(AND($J36&lt;&gt;"",$K36&lt;&gt;""),DATEDIF(TODAY(),K36,"d"),"未定")</f>
        <v>4</v>
      </c>
      <c r="N36" s="9"/>
      <c r="O36" s="9"/>
      <c r="P36" s="9"/>
      <c r="Q36" s="9"/>
      <c r="R36" s="9"/>
      <c r="S36" s="9"/>
      <c r="T36" s="38"/>
      <c r="U36" s="38"/>
      <c r="V36" s="32"/>
      <c r="W36" s="32"/>
      <c r="X36" s="32"/>
      <c r="Y36" s="32"/>
      <c r="Z36" s="32"/>
      <c r="AA36" s="32"/>
      <c r="AB36" s="32"/>
      <c r="AC36" s="32"/>
      <c r="AD36" s="32"/>
      <c r="AE36" s="32"/>
      <c r="AF36" s="32"/>
      <c r="AG36" s="32"/>
      <c r="AH36" s="9"/>
      <c r="AI36" s="9"/>
      <c r="AJ36" s="9"/>
      <c r="AK36" s="9"/>
      <c r="AL36" s="9"/>
      <c r="AM36" s="9"/>
      <c r="AN36" s="9"/>
      <c r="AO36" s="9"/>
      <c r="AP36" s="9"/>
      <c r="AQ36" s="9"/>
      <c r="AR36" s="9"/>
    </row>
    <row r="37" customFormat="false" ht="12.75" hidden="false" customHeight="true" outlineLevel="0" collapsed="false">
      <c r="A37" s="11"/>
      <c r="B37" s="12"/>
      <c r="C37" s="12"/>
      <c r="D37" s="26"/>
      <c r="E37" s="24"/>
      <c r="F37" s="11"/>
      <c r="G37" s="11"/>
      <c r="H37" s="11"/>
      <c r="I37" s="11"/>
      <c r="J37" s="14"/>
      <c r="K37" s="39"/>
      <c r="L37" s="21" t="n">
        <f aca="false">DATEDIF(J37,K37,"d")</f>
        <v>0</v>
      </c>
      <c r="M37" s="15"/>
      <c r="N37" s="9"/>
      <c r="O37" s="9"/>
      <c r="P37" s="9"/>
      <c r="Q37" s="9"/>
      <c r="R37" s="9"/>
      <c r="S37" s="9"/>
      <c r="T37" s="9"/>
      <c r="U37" s="9"/>
      <c r="V37" s="9"/>
      <c r="W37" s="9"/>
      <c r="X37" s="9"/>
      <c r="Y37" s="9"/>
      <c r="Z37" s="32"/>
      <c r="AA37" s="32"/>
      <c r="AB37" s="32"/>
      <c r="AC37" s="32"/>
      <c r="AD37" s="32"/>
      <c r="AE37" s="32"/>
      <c r="AF37" s="32"/>
      <c r="AG37" s="32"/>
      <c r="AH37" s="9"/>
      <c r="AI37" s="9"/>
      <c r="AJ37" s="9"/>
      <c r="AK37" s="9"/>
      <c r="AL37" s="9"/>
      <c r="AM37" s="9"/>
      <c r="AN37" s="9"/>
      <c r="AO37" s="9"/>
      <c r="AP37" s="9"/>
      <c r="AQ37" s="9"/>
      <c r="AR37" s="9"/>
    </row>
    <row r="38" customFormat="false" ht="12.75" hidden="false" customHeight="true" outlineLevel="0" collapsed="false">
      <c r="A38" s="11" t="n">
        <v>20</v>
      </c>
      <c r="B38" s="12"/>
      <c r="C38" s="12" t="s">
        <v>53</v>
      </c>
      <c r="D38" s="16"/>
      <c r="E38" s="24"/>
      <c r="F38" s="11"/>
      <c r="G38" s="11"/>
      <c r="H38" s="12"/>
      <c r="I38" s="13"/>
      <c r="J38" s="14"/>
      <c r="K38" s="14"/>
      <c r="L38" s="21" t="n">
        <f aca="false">DATEDIF(J38,K38,"d")</f>
        <v>0</v>
      </c>
      <c r="M38" s="15"/>
      <c r="N38" s="9"/>
      <c r="O38" s="9"/>
      <c r="P38" s="9"/>
      <c r="Q38" s="9"/>
      <c r="R38" s="9"/>
      <c r="S38" s="9"/>
      <c r="T38" s="9"/>
      <c r="U38" s="9"/>
      <c r="V38" s="9"/>
      <c r="W38" s="9"/>
      <c r="X38" s="9"/>
      <c r="Y38" s="9"/>
      <c r="Z38" s="32"/>
      <c r="AA38" s="32"/>
      <c r="AB38" s="32"/>
      <c r="AC38" s="32"/>
      <c r="AD38" s="32"/>
      <c r="AE38" s="32"/>
      <c r="AF38" s="32"/>
      <c r="AG38" s="32"/>
      <c r="AH38" s="9"/>
      <c r="AI38" s="9"/>
      <c r="AJ38" s="9"/>
      <c r="AK38" s="9"/>
      <c r="AL38" s="9"/>
      <c r="AM38" s="9"/>
      <c r="AN38" s="9"/>
      <c r="AO38" s="9"/>
      <c r="AP38" s="9"/>
      <c r="AQ38" s="9"/>
      <c r="AR38" s="9"/>
    </row>
    <row r="39" customFormat="false" ht="12.75" hidden="false" customHeight="true" outlineLevel="0" collapsed="false">
      <c r="A39" s="11"/>
      <c r="B39" s="12"/>
      <c r="C39" s="12"/>
      <c r="D39" s="16"/>
      <c r="E39" s="24"/>
      <c r="F39" s="11"/>
      <c r="G39" s="11"/>
      <c r="H39" s="12"/>
      <c r="I39" s="13"/>
      <c r="J39" s="14"/>
      <c r="K39" s="14"/>
      <c r="L39" s="21" t="n">
        <f aca="false">DATEDIF(J39,K39,"d")</f>
        <v>0</v>
      </c>
      <c r="M39" s="15"/>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row>
    <row r="40" customFormat="false" ht="12.75" hidden="false" customHeight="true" outlineLevel="0" collapsed="false">
      <c r="A40" s="11" t="n">
        <v>21</v>
      </c>
      <c r="B40" s="12"/>
      <c r="C40" s="12"/>
      <c r="D40" s="16" t="s">
        <v>24</v>
      </c>
      <c r="E40" s="24" t="s">
        <v>54</v>
      </c>
      <c r="F40" s="11" t="s">
        <v>39</v>
      </c>
      <c r="G40" s="11" t="s">
        <v>27</v>
      </c>
      <c r="H40" s="12" t="s">
        <v>55</v>
      </c>
      <c r="I40" s="13"/>
      <c r="J40" s="14" t="n">
        <v>43235</v>
      </c>
      <c r="K40" s="31" t="n">
        <v>43236</v>
      </c>
      <c r="L40" s="21" t="n">
        <f aca="false">DATEDIF(J40,K40,"d")</f>
        <v>1</v>
      </c>
      <c r="M40" s="15" t="n">
        <f aca="true">IF(AND($J40&lt;&gt;"",$K40&lt;&gt;""),DATEDIF(TODAY(),K40,"d"),"未定")</f>
        <v>9</v>
      </c>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row>
    <row r="41" customFormat="false" ht="12.75" hidden="false" customHeight="true" outlineLevel="0" collapsed="false">
      <c r="A41" s="11"/>
      <c r="B41" s="12"/>
      <c r="C41" s="12"/>
      <c r="D41" s="16"/>
      <c r="E41" s="24"/>
      <c r="F41" s="11"/>
      <c r="G41" s="11"/>
      <c r="H41" s="12"/>
      <c r="I41" s="13"/>
      <c r="J41" s="14"/>
      <c r="K41" s="14"/>
      <c r="L41" s="21" t="n">
        <f aca="false">DATEDIF(J41,K41,"d")</f>
        <v>0</v>
      </c>
      <c r="M41" s="15"/>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row>
    <row r="42" customFormat="false" ht="12.75" hidden="false" customHeight="true" outlineLevel="0" collapsed="false">
      <c r="A42" s="11" t="n">
        <v>22</v>
      </c>
      <c r="B42" s="12"/>
      <c r="C42" s="12"/>
      <c r="D42" s="16" t="s">
        <v>24</v>
      </c>
      <c r="E42" s="24" t="s">
        <v>56</v>
      </c>
      <c r="F42" s="11" t="s">
        <v>26</v>
      </c>
      <c r="G42" s="11" t="s">
        <v>27</v>
      </c>
      <c r="H42" s="12" t="s">
        <v>55</v>
      </c>
      <c r="I42" s="13"/>
      <c r="J42" s="31" t="n">
        <v>43234</v>
      </c>
      <c r="K42" s="31" t="n">
        <v>43235</v>
      </c>
      <c r="L42" s="21" t="n">
        <f aca="false">DATEDIF(J42,K42,"d")</f>
        <v>1</v>
      </c>
      <c r="M42" s="15" t="n">
        <f aca="true">IF(AND($J42&lt;&gt;"",$K42&lt;&gt;""),DATEDIF(TODAY(),K42,"d"),"未定")</f>
        <v>8</v>
      </c>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row>
    <row r="43" customFormat="false" ht="12.75" hidden="false" customHeight="true" outlineLevel="0" collapsed="false">
      <c r="A43" s="11"/>
      <c r="B43" s="12"/>
      <c r="C43" s="12"/>
      <c r="D43" s="16"/>
      <c r="E43" s="24"/>
      <c r="F43" s="11"/>
      <c r="G43" s="11"/>
      <c r="H43" s="12"/>
      <c r="I43" s="13"/>
      <c r="J43" s="14"/>
      <c r="K43" s="14"/>
      <c r="L43" s="21" t="n">
        <f aca="false">DATEDIF(J43,K43,"d")</f>
        <v>0</v>
      </c>
      <c r="M43" s="15"/>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row>
    <row r="44" customFormat="false" ht="12.75" hidden="false" customHeight="true" outlineLevel="0" collapsed="false">
      <c r="A44" s="11" t="n">
        <v>23</v>
      </c>
      <c r="B44" s="22"/>
      <c r="C44" s="22"/>
      <c r="D44" s="16" t="s">
        <v>24</v>
      </c>
      <c r="E44" s="23" t="s">
        <v>57</v>
      </c>
      <c r="F44" s="11" t="s">
        <v>30</v>
      </c>
      <c r="G44" s="11" t="s">
        <v>27</v>
      </c>
      <c r="H44" s="12" t="s">
        <v>55</v>
      </c>
      <c r="I44" s="13"/>
      <c r="J44" s="31" t="n">
        <v>43234</v>
      </c>
      <c r="K44" s="31" t="n">
        <v>43235</v>
      </c>
      <c r="L44" s="21" t="n">
        <f aca="false">DATEDIF(J44,K44,"d")</f>
        <v>1</v>
      </c>
      <c r="M44" s="15" t="n">
        <f aca="true">IF(AND($J44&lt;&gt;"",$K44&lt;&gt;""),DATEDIF(TODAY(),K44,"d"),"未定")</f>
        <v>8</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row>
    <row r="45" customFormat="false" ht="12.75" hidden="false" customHeight="true" outlineLevel="0" collapsed="false">
      <c r="A45" s="11"/>
      <c r="B45" s="22"/>
      <c r="C45" s="22"/>
      <c r="D45" s="16"/>
      <c r="E45" s="23"/>
      <c r="F45" s="11"/>
      <c r="G45" s="11"/>
      <c r="H45" s="12"/>
      <c r="I45" s="13"/>
      <c r="J45" s="14"/>
      <c r="K45" s="14"/>
      <c r="L45" s="21" t="n">
        <f aca="false">DATEDIF(J45,K45,"d")</f>
        <v>0</v>
      </c>
      <c r="M45" s="15"/>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row>
    <row r="46" customFormat="false" ht="12.75" hidden="false" customHeight="true" outlineLevel="0" collapsed="false">
      <c r="A46" s="11" t="n">
        <v>24</v>
      </c>
      <c r="B46" s="11"/>
      <c r="C46" s="11"/>
      <c r="D46" s="16" t="s">
        <v>24</v>
      </c>
      <c r="E46" s="10" t="s">
        <v>58</v>
      </c>
      <c r="F46" s="11" t="s">
        <v>30</v>
      </c>
      <c r="G46" s="11" t="s">
        <v>27</v>
      </c>
      <c r="H46" s="12" t="s">
        <v>55</v>
      </c>
      <c r="I46" s="13"/>
      <c r="J46" s="31" t="n">
        <v>43235</v>
      </c>
      <c r="K46" s="31" t="n">
        <v>43236</v>
      </c>
      <c r="L46" s="21" t="n">
        <f aca="false">DATEDIF(J46,K46,"d")</f>
        <v>1</v>
      </c>
      <c r="M46" s="15" t="n">
        <f aca="true">IF(AND($J46&lt;&gt;"",$K46&lt;&gt;""),DATEDIF(TODAY(),K46,"d"),"未定")</f>
        <v>9</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row>
    <row r="47" customFormat="false" ht="12.75" hidden="false" customHeight="true" outlineLevel="0" collapsed="false">
      <c r="A47" s="11"/>
      <c r="B47" s="11"/>
      <c r="C47" s="11"/>
      <c r="D47" s="11"/>
      <c r="E47" s="11"/>
      <c r="F47" s="11"/>
      <c r="G47" s="11"/>
      <c r="H47" s="12"/>
      <c r="I47" s="13"/>
      <c r="J47" s="14"/>
      <c r="K47" s="14"/>
      <c r="L47" s="21" t="n">
        <f aca="false">DATEDIF(J47,K47,"d")</f>
        <v>0</v>
      </c>
      <c r="M47" s="15"/>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row>
    <row r="48" customFormat="false" ht="12.75" hidden="false" customHeight="true" outlineLevel="0" collapsed="false">
      <c r="A48" s="11" t="n">
        <v>25</v>
      </c>
      <c r="B48" s="11"/>
      <c r="C48" s="11"/>
      <c r="D48" s="16" t="s">
        <v>24</v>
      </c>
      <c r="E48" s="10" t="s">
        <v>59</v>
      </c>
      <c r="F48" s="11" t="s">
        <v>30</v>
      </c>
      <c r="G48" s="11" t="s">
        <v>27</v>
      </c>
      <c r="H48" s="12" t="s">
        <v>55</v>
      </c>
      <c r="I48" s="13"/>
      <c r="J48" s="31" t="n">
        <v>43236</v>
      </c>
      <c r="K48" s="31" t="n">
        <v>43237</v>
      </c>
      <c r="L48" s="21" t="n">
        <f aca="false">DATEDIF(J48,K48,"d")</f>
        <v>1</v>
      </c>
      <c r="M48" s="15" t="n">
        <f aca="true">IF(AND($J48&lt;&gt;"",$K48&lt;&gt;""),DATEDIF(TODAY(),K48,"d"),"未定")</f>
        <v>10</v>
      </c>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row>
    <row r="49" customFormat="false" ht="12.75" hidden="false" customHeight="true" outlineLevel="0" collapsed="false">
      <c r="A49" s="11"/>
      <c r="B49" s="11"/>
      <c r="C49" s="11"/>
      <c r="D49" s="11"/>
      <c r="E49" s="11"/>
      <c r="F49" s="11"/>
      <c r="G49" s="11"/>
      <c r="H49" s="12"/>
      <c r="I49" s="13"/>
      <c r="J49" s="14"/>
      <c r="K49" s="14"/>
      <c r="L49" s="21" t="n">
        <f aca="false">DATEDIF(J49,K49,"d")</f>
        <v>0</v>
      </c>
      <c r="M49" s="15"/>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row>
    <row r="50" customFormat="false" ht="12.75" hidden="false" customHeight="true" outlineLevel="0" collapsed="false">
      <c r="A50" s="11" t="n">
        <v>26</v>
      </c>
      <c r="B50" s="22"/>
      <c r="C50" s="22"/>
      <c r="D50" s="16" t="s">
        <v>24</v>
      </c>
      <c r="E50" s="23" t="s">
        <v>60</v>
      </c>
      <c r="F50" s="11" t="s">
        <v>32</v>
      </c>
      <c r="G50" s="11" t="s">
        <v>27</v>
      </c>
      <c r="H50" s="12" t="s">
        <v>55</v>
      </c>
      <c r="I50" s="13"/>
      <c r="J50" s="31" t="n">
        <v>43234</v>
      </c>
      <c r="K50" s="31" t="n">
        <v>43235</v>
      </c>
      <c r="L50" s="21" t="n">
        <f aca="false">DATEDIF(J50,K50,"d")</f>
        <v>1</v>
      </c>
      <c r="M50" s="15" t="n">
        <f aca="true">IF(AND($J50&lt;&gt;"",$K50&lt;&gt;""),DATEDIF(TODAY(),K50,"d"),"未定")</f>
        <v>8</v>
      </c>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row>
    <row r="51" customFormat="false" ht="12.75" hidden="false" customHeight="true" outlineLevel="0" collapsed="false">
      <c r="A51" s="11"/>
      <c r="B51" s="22"/>
      <c r="C51" s="22"/>
      <c r="D51" s="16"/>
      <c r="E51" s="23"/>
      <c r="F51" s="11"/>
      <c r="G51" s="11"/>
      <c r="H51" s="12"/>
      <c r="I51" s="13"/>
      <c r="J51" s="14"/>
      <c r="K51" s="14"/>
      <c r="L51" s="21" t="n">
        <f aca="false">DATEDIF(J51,K51,"d")</f>
        <v>0</v>
      </c>
      <c r="M51" s="15"/>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row>
    <row r="52" customFormat="false" ht="12.75" hidden="false" customHeight="true" outlineLevel="0" collapsed="false">
      <c r="A52" s="11" t="n">
        <v>27</v>
      </c>
      <c r="B52" s="22"/>
      <c r="C52" s="22"/>
      <c r="D52" s="16" t="s">
        <v>24</v>
      </c>
      <c r="E52" s="23" t="s">
        <v>61</v>
      </c>
      <c r="F52" s="11" t="s">
        <v>32</v>
      </c>
      <c r="G52" s="11" t="s">
        <v>27</v>
      </c>
      <c r="H52" s="12" t="s">
        <v>55</v>
      </c>
      <c r="I52" s="13"/>
      <c r="J52" s="31" t="n">
        <v>43234</v>
      </c>
      <c r="K52" s="31" t="n">
        <v>43235</v>
      </c>
      <c r="L52" s="21" t="n">
        <f aca="false">DATEDIF(J52,K52,"d")</f>
        <v>1</v>
      </c>
      <c r="M52" s="15" t="n">
        <f aca="true">IF(AND($J52&lt;&gt;"",$K52&lt;&gt;""),DATEDIF(TODAY(),K52,"d"),"未定")</f>
        <v>8</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row>
    <row r="53" customFormat="false" ht="12.75" hidden="false" customHeight="true" outlineLevel="0" collapsed="false">
      <c r="A53" s="11"/>
      <c r="B53" s="22"/>
      <c r="C53" s="22"/>
      <c r="D53" s="16"/>
      <c r="E53" s="23"/>
      <c r="F53" s="11"/>
      <c r="G53" s="11"/>
      <c r="H53" s="12"/>
      <c r="I53" s="13"/>
      <c r="J53" s="14"/>
      <c r="K53" s="14"/>
      <c r="L53" s="21" t="n">
        <f aca="false">DATEDIF(J53,K53,"d")</f>
        <v>0</v>
      </c>
      <c r="M53" s="15"/>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row>
    <row r="54" customFormat="false" ht="12.75" hidden="false" customHeight="true" outlineLevel="0" collapsed="false">
      <c r="A54" s="11" t="n">
        <v>28</v>
      </c>
      <c r="B54" s="22"/>
      <c r="C54" s="22"/>
      <c r="D54" s="16" t="s">
        <v>24</v>
      </c>
      <c r="E54" s="23" t="s">
        <v>62</v>
      </c>
      <c r="F54" s="11" t="s">
        <v>32</v>
      </c>
      <c r="G54" s="11" t="s">
        <v>27</v>
      </c>
      <c r="H54" s="12" t="s">
        <v>55</v>
      </c>
      <c r="I54" s="13"/>
      <c r="J54" s="31" t="n">
        <v>43235</v>
      </c>
      <c r="K54" s="31" t="n">
        <v>43236</v>
      </c>
      <c r="L54" s="21" t="n">
        <f aca="false">DATEDIF(J54,K54,"d")</f>
        <v>1</v>
      </c>
      <c r="M54" s="15" t="n">
        <f aca="true">IF(AND($J54&lt;&gt;"",$K54&lt;&gt;""),DATEDIF(TODAY(),K54,"d"),"未定")</f>
        <v>9</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row>
    <row r="55" customFormat="false" ht="12.75" hidden="false" customHeight="true" outlineLevel="0" collapsed="false">
      <c r="A55" s="11"/>
      <c r="B55" s="22"/>
      <c r="C55" s="22"/>
      <c r="D55" s="16"/>
      <c r="E55" s="23"/>
      <c r="F55" s="11"/>
      <c r="G55" s="11"/>
      <c r="H55" s="12"/>
      <c r="I55" s="13"/>
      <c r="J55" s="14"/>
      <c r="K55" s="14"/>
      <c r="L55" s="21" t="n">
        <f aca="false">DATEDIF(J55,K55,"d")</f>
        <v>0</v>
      </c>
      <c r="M55" s="15"/>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row>
    <row r="56" customFormat="false" ht="12.75" hidden="false" customHeight="true" outlineLevel="0" collapsed="false">
      <c r="A56" s="11" t="n">
        <v>29</v>
      </c>
      <c r="B56" s="22"/>
      <c r="C56" s="22"/>
      <c r="D56" s="16" t="s">
        <v>24</v>
      </c>
      <c r="E56" s="23" t="s">
        <v>63</v>
      </c>
      <c r="F56" s="11" t="s">
        <v>32</v>
      </c>
      <c r="G56" s="11" t="s">
        <v>34</v>
      </c>
      <c r="H56" s="12" t="s">
        <v>55</v>
      </c>
      <c r="I56" s="13"/>
      <c r="J56" s="31" t="n">
        <v>43235</v>
      </c>
      <c r="K56" s="31" t="n">
        <v>43236</v>
      </c>
      <c r="L56" s="21" t="n">
        <f aca="false">DATEDIF(J56,K56,"d")</f>
        <v>1</v>
      </c>
      <c r="M56" s="15" t="n">
        <f aca="true">IF(AND($J56&lt;&gt;"",$K56&lt;&gt;""),DATEDIF(TODAY(),K56,"d"),"未定")</f>
        <v>9</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row>
    <row r="57" customFormat="false" ht="12.75" hidden="false" customHeight="true" outlineLevel="0" collapsed="false">
      <c r="A57" s="11"/>
      <c r="B57" s="22"/>
      <c r="C57" s="22"/>
      <c r="D57" s="16"/>
      <c r="E57" s="23"/>
      <c r="F57" s="11"/>
      <c r="G57" s="11"/>
      <c r="H57" s="12"/>
      <c r="I57" s="13"/>
      <c r="J57" s="14"/>
      <c r="K57" s="14"/>
      <c r="L57" s="21" t="n">
        <f aca="false">DATEDIF(J57,K57,"d")</f>
        <v>0</v>
      </c>
      <c r="M57" s="15"/>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row>
    <row r="58" customFormat="false" ht="12.75" hidden="false" customHeight="true" outlineLevel="0" collapsed="false">
      <c r="A58" s="11" t="n">
        <v>30</v>
      </c>
      <c r="B58" s="12"/>
      <c r="C58" s="12"/>
      <c r="D58" s="16" t="s">
        <v>24</v>
      </c>
      <c r="E58" s="24" t="s">
        <v>64</v>
      </c>
      <c r="F58" s="11" t="s">
        <v>32</v>
      </c>
      <c r="G58" s="11" t="s">
        <v>34</v>
      </c>
      <c r="H58" s="12" t="s">
        <v>55</v>
      </c>
      <c r="I58" s="13"/>
      <c r="J58" s="31" t="n">
        <v>43236</v>
      </c>
      <c r="K58" s="31" t="n">
        <v>43238</v>
      </c>
      <c r="L58" s="21" t="n">
        <f aca="false">DATEDIF(J58,K58,"d")</f>
        <v>2</v>
      </c>
      <c r="M58" s="15" t="n">
        <f aca="true">IF(AND($J58&lt;&gt;"",$K58&lt;&gt;""),DATEDIF(TODAY(),K58,"d"),"未定")</f>
        <v>11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row>
    <row r="59" customFormat="false" ht="12.75" hidden="false" customHeight="true" outlineLevel="0" collapsed="false">
      <c r="A59" s="11"/>
      <c r="B59" s="12"/>
      <c r="C59" s="12"/>
      <c r="D59" s="16"/>
      <c r="E59" s="24"/>
      <c r="F59" s="11"/>
      <c r="G59" s="11"/>
      <c r="H59" s="12"/>
      <c r="I59" s="13"/>
      <c r="J59" s="14"/>
      <c r="K59" s="14"/>
      <c r="L59" s="21" t="n">
        <f aca="false">DATEDIF(J59,K59,"d")</f>
        <v>0</v>
      </c>
      <c r="M59" s="15"/>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row>
    <row r="60" customFormat="false" ht="12.75" hidden="false" customHeight="true" outlineLevel="0" collapsed="false">
      <c r="A60" s="11" t="n">
        <v>31</v>
      </c>
      <c r="B60" s="12"/>
      <c r="C60" s="12"/>
      <c r="D60" s="16" t="s">
        <v>65</v>
      </c>
      <c r="E60" s="24" t="s">
        <v>66</v>
      </c>
      <c r="F60" s="11"/>
      <c r="G60" s="11" t="s">
        <v>34</v>
      </c>
      <c r="H60" s="12" t="s">
        <v>55</v>
      </c>
      <c r="I60" s="13"/>
      <c r="J60" s="31"/>
      <c r="K60" s="31"/>
      <c r="L60" s="21" t="n">
        <f aca="false">DATEDIF(J60,K60,"d")</f>
        <v>0</v>
      </c>
      <c r="M60" s="15" t="str">
        <f aca="true">IF(AND($J60&lt;&gt;"",$K60&lt;&gt;""),DATEDIF(TODAY(),K60,"d"),"未定")</f>
        <v>未定</v>
      </c>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row>
    <row r="61" customFormat="false" ht="12.75" hidden="false" customHeight="true" outlineLevel="0" collapsed="false">
      <c r="A61" s="11"/>
      <c r="B61" s="12"/>
      <c r="C61" s="12"/>
      <c r="D61" s="16"/>
      <c r="E61" s="24"/>
      <c r="F61" s="11"/>
      <c r="G61" s="11"/>
      <c r="H61" s="12"/>
      <c r="I61" s="13"/>
      <c r="J61" s="14"/>
      <c r="K61" s="14"/>
      <c r="L61" s="21" t="n">
        <f aca="false">DATEDIF(J61,K61,"d")</f>
        <v>0</v>
      </c>
      <c r="M61" s="15"/>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row>
    <row r="62" customFormat="false" ht="12.75" hidden="false" customHeight="true" outlineLevel="0" collapsed="false">
      <c r="A62" s="11" t="n">
        <v>32</v>
      </c>
      <c r="B62" s="12"/>
      <c r="C62" s="12"/>
      <c r="D62" s="16" t="s">
        <v>65</v>
      </c>
      <c r="E62" s="24" t="s">
        <v>67</v>
      </c>
      <c r="F62" s="11"/>
      <c r="G62" s="11" t="s">
        <v>34</v>
      </c>
      <c r="H62" s="12" t="s">
        <v>55</v>
      </c>
      <c r="I62" s="13"/>
      <c r="J62" s="31"/>
      <c r="K62" s="31"/>
      <c r="L62" s="21" t="n">
        <f aca="false">DATEDIF(J62,K62,"d")</f>
        <v>0</v>
      </c>
      <c r="M62" s="15" t="str">
        <f aca="true">IF(AND($J62&lt;&gt;"",$K62&lt;&gt;""),DATEDIF(TODAY(),K62,"d"),"未定")</f>
        <v>未定</v>
      </c>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row>
    <row r="63" customFormat="false" ht="12.75" hidden="false" customHeight="true" outlineLevel="0" collapsed="false">
      <c r="A63" s="11"/>
      <c r="B63" s="12"/>
      <c r="C63" s="12"/>
      <c r="D63" s="16"/>
      <c r="E63" s="24"/>
      <c r="F63" s="11"/>
      <c r="G63" s="11"/>
      <c r="H63" s="12"/>
      <c r="I63" s="13"/>
      <c r="J63" s="14"/>
      <c r="K63" s="14"/>
      <c r="L63" s="21" t="n">
        <f aca="false">DATEDIF(J63,K63,"d")</f>
        <v>0</v>
      </c>
      <c r="M63" s="15"/>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row>
    <row r="64" customFormat="false" ht="12.75" hidden="false" customHeight="true" outlineLevel="0" collapsed="false">
      <c r="A64" s="11" t="n">
        <v>33</v>
      </c>
      <c r="B64" s="12"/>
      <c r="C64" s="12"/>
      <c r="D64" s="16" t="s">
        <v>65</v>
      </c>
      <c r="E64" s="24" t="s">
        <v>68</v>
      </c>
      <c r="F64" s="11" t="s">
        <v>39</v>
      </c>
      <c r="G64" s="11" t="s">
        <v>34</v>
      </c>
      <c r="H64" s="12" t="s">
        <v>55</v>
      </c>
      <c r="I64" s="13"/>
      <c r="J64" s="31" t="n">
        <v>43234</v>
      </c>
      <c r="K64" s="31" t="n">
        <v>43236</v>
      </c>
      <c r="L64" s="21" t="n">
        <f aca="false">DATEDIF(J64,K64,"d")</f>
        <v>2</v>
      </c>
      <c r="M64" s="15" t="n">
        <f aca="true">IF(AND($J64&lt;&gt;"",$K64&lt;&gt;""),DATEDIF(TODAY(),K64,"d"),"未定")</f>
        <v>9</v>
      </c>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row>
    <row r="65" customFormat="false" ht="12.75" hidden="false" customHeight="true" outlineLevel="0" collapsed="false">
      <c r="A65" s="11"/>
      <c r="B65" s="12"/>
      <c r="C65" s="12"/>
      <c r="D65" s="16"/>
      <c r="E65" s="24"/>
      <c r="F65" s="11"/>
      <c r="G65" s="11"/>
      <c r="H65" s="12"/>
      <c r="I65" s="13"/>
      <c r="J65" s="14"/>
      <c r="K65" s="14"/>
      <c r="L65" s="21" t="n">
        <f aca="false">DATEDIF(J65,K65,"d")</f>
        <v>0</v>
      </c>
      <c r="M65" s="15"/>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row>
    <row r="66" customFormat="false" ht="12.75" hidden="false" customHeight="true" outlineLevel="0" collapsed="false">
      <c r="A66" s="11" t="n">
        <v>34</v>
      </c>
      <c r="B66" s="12"/>
      <c r="C66" s="12"/>
      <c r="D66" s="16" t="s">
        <v>65</v>
      </c>
      <c r="E66" s="24" t="s">
        <v>69</v>
      </c>
      <c r="F66" s="11" t="s">
        <v>39</v>
      </c>
      <c r="G66" s="11" t="s">
        <v>34</v>
      </c>
      <c r="H66" s="12" t="s">
        <v>55</v>
      </c>
      <c r="I66" s="13"/>
      <c r="J66" s="31" t="n">
        <v>43234</v>
      </c>
      <c r="K66" s="31" t="n">
        <v>43236</v>
      </c>
      <c r="L66" s="21" t="n">
        <f aca="false">DATEDIF(J66,K66,"d")</f>
        <v>2</v>
      </c>
      <c r="M66" s="15" t="n">
        <f aca="true">IF(AND($J66&lt;&gt;"",$K66&lt;&gt;""),DATEDIF(TODAY(),K66,"d"),"未定")</f>
        <v>9</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row>
    <row r="67" customFormat="false" ht="12.75" hidden="false" customHeight="true" outlineLevel="0" collapsed="false">
      <c r="A67" s="11"/>
      <c r="B67" s="12"/>
      <c r="C67" s="12"/>
      <c r="D67" s="16"/>
      <c r="E67" s="24"/>
      <c r="F67" s="11"/>
      <c r="G67" s="11"/>
      <c r="H67" s="12"/>
      <c r="I67" s="13"/>
      <c r="J67" s="14"/>
      <c r="K67" s="14"/>
      <c r="L67" s="21" t="n">
        <f aca="false">DATEDIF(J67,K67,"d")</f>
        <v>0</v>
      </c>
      <c r="M67" s="15"/>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row>
    <row r="68" customFormat="false" ht="12.75" hidden="false" customHeight="true" outlineLevel="0" collapsed="false">
      <c r="A68" s="11" t="n">
        <v>35</v>
      </c>
      <c r="B68" s="12"/>
      <c r="C68" s="12"/>
      <c r="D68" s="16" t="s">
        <v>24</v>
      </c>
      <c r="E68" s="24" t="s">
        <v>70</v>
      </c>
      <c r="F68" s="11" t="s">
        <v>32</v>
      </c>
      <c r="G68" s="11" t="s">
        <v>34</v>
      </c>
      <c r="H68" s="12" t="s">
        <v>55</v>
      </c>
      <c r="I68" s="13"/>
      <c r="J68" s="31" t="n">
        <v>43234</v>
      </c>
      <c r="K68" s="31" t="n">
        <v>43235</v>
      </c>
      <c r="L68" s="21" t="n">
        <f aca="false">DATEDIF(J68,K68,"d")</f>
        <v>1</v>
      </c>
      <c r="M68" s="15" t="n">
        <f aca="true">IF(AND($J68&lt;&gt;"",$K68&lt;&gt;""),DATEDIF(TODAY(),K68,"d"),"未定")</f>
        <v>8</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row>
    <row r="69" customFormat="false" ht="12.75" hidden="false" customHeight="true" outlineLevel="0" collapsed="false">
      <c r="A69" s="11"/>
      <c r="B69" s="12"/>
      <c r="C69" s="12"/>
      <c r="D69" s="16"/>
      <c r="E69" s="24"/>
      <c r="F69" s="11"/>
      <c r="G69" s="11"/>
      <c r="H69" s="12"/>
      <c r="I69" s="13"/>
      <c r="J69" s="14"/>
      <c r="K69" s="14"/>
      <c r="L69" s="21" t="n">
        <f aca="false">DATEDIF(J69,K69,"d")</f>
        <v>0</v>
      </c>
      <c r="M69" s="15"/>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row>
    <row r="70" customFormat="false" ht="12.75" hidden="false" customHeight="true" outlineLevel="0" collapsed="false">
      <c r="A70" s="11" t="n">
        <v>36</v>
      </c>
      <c r="B70" s="12"/>
      <c r="C70" s="12"/>
      <c r="D70" s="16" t="s">
        <v>24</v>
      </c>
      <c r="E70" s="24" t="s">
        <v>71</v>
      </c>
      <c r="F70" s="11" t="s">
        <v>37</v>
      </c>
      <c r="G70" s="11" t="s">
        <v>27</v>
      </c>
      <c r="H70" s="12" t="s">
        <v>55</v>
      </c>
      <c r="I70" s="13"/>
      <c r="J70" s="31" t="n">
        <v>43234</v>
      </c>
      <c r="K70" s="31" t="n">
        <v>43236</v>
      </c>
      <c r="L70" s="21" t="n">
        <f aca="false">DATEDIF(J70,K70,"d")</f>
        <v>2</v>
      </c>
      <c r="M70" s="15" t="n">
        <f aca="true">IF(AND($J70&lt;&gt;"",$K70&lt;&gt;""),DATEDIF(TODAY(),K70,"d"),"未定")</f>
        <v>9</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row>
    <row r="71" customFormat="false" ht="12.75" hidden="false" customHeight="true" outlineLevel="0" collapsed="false">
      <c r="A71" s="11"/>
      <c r="B71" s="12"/>
      <c r="C71" s="12"/>
      <c r="D71" s="16"/>
      <c r="E71" s="24"/>
      <c r="F71" s="11"/>
      <c r="G71" s="11"/>
      <c r="H71" s="12"/>
      <c r="I71" s="13"/>
      <c r="J71" s="14"/>
      <c r="K71" s="14"/>
      <c r="L71" s="21" t="n">
        <f aca="false">DATEDIF(J71,K71,"d")</f>
        <v>0</v>
      </c>
      <c r="M71" s="15"/>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row>
    <row r="72" customFormat="false" ht="12.75" hidden="false" customHeight="true" outlineLevel="0" collapsed="false">
      <c r="A72" s="11" t="n">
        <v>37</v>
      </c>
      <c r="B72" s="12"/>
      <c r="C72" s="12"/>
      <c r="D72" s="16" t="s">
        <v>24</v>
      </c>
      <c r="E72" s="24" t="s">
        <v>72</v>
      </c>
      <c r="F72" s="40" t="s">
        <v>37</v>
      </c>
      <c r="G72" s="11" t="s">
        <v>27</v>
      </c>
      <c r="H72" s="12" t="s">
        <v>55</v>
      </c>
      <c r="I72" s="13"/>
      <c r="J72" s="31" t="n">
        <v>43234</v>
      </c>
      <c r="K72" s="31" t="n">
        <v>43236</v>
      </c>
      <c r="L72" s="21" t="n">
        <f aca="false">DATEDIF(J72,K72,"d")</f>
        <v>2</v>
      </c>
      <c r="M72" s="15" t="n">
        <f aca="true">IF(AND($J72&lt;&gt;"",$K72&lt;&gt;""),DATEDIF(TODAY(),K72,"d"),"未定")</f>
        <v>9</v>
      </c>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row>
    <row r="73" customFormat="false" ht="12.75" hidden="false" customHeight="true" outlineLevel="0" collapsed="false">
      <c r="A73" s="11"/>
      <c r="B73" s="12"/>
      <c r="C73" s="12"/>
      <c r="D73" s="16"/>
      <c r="E73" s="24"/>
      <c r="F73" s="40"/>
      <c r="G73" s="11"/>
      <c r="H73" s="12"/>
      <c r="I73" s="13"/>
      <c r="J73" s="14"/>
      <c r="K73" s="14"/>
      <c r="L73" s="21" t="n">
        <f aca="false">DATEDIF(J73,K73,"d")</f>
        <v>0</v>
      </c>
      <c r="M73" s="15"/>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row>
    <row r="74" customFormat="false" ht="12.75" hidden="false" customHeight="true" outlineLevel="0" collapsed="false">
      <c r="A74" s="11" t="n">
        <v>38</v>
      </c>
      <c r="B74" s="12"/>
      <c r="C74" s="12"/>
      <c r="D74" s="16" t="s">
        <v>24</v>
      </c>
      <c r="E74" s="24" t="s">
        <v>73</v>
      </c>
      <c r="F74" s="40" t="s">
        <v>37</v>
      </c>
      <c r="G74" s="11" t="s">
        <v>27</v>
      </c>
      <c r="H74" s="12" t="s">
        <v>55</v>
      </c>
      <c r="I74" s="13"/>
      <c r="J74" s="31" t="n">
        <v>43234</v>
      </c>
      <c r="K74" s="31" t="n">
        <v>43236</v>
      </c>
      <c r="L74" s="21" t="n">
        <f aca="false">DATEDIF(J74,K74,"d")</f>
        <v>2</v>
      </c>
      <c r="M74" s="15" t="n">
        <f aca="true">IF(AND($J74&lt;&gt;"",$K74&lt;&gt;""),DATEDIF(TODAY(),K74,"d"),"未定")</f>
        <v>9</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row>
    <row r="75" customFormat="false" ht="12.75" hidden="false" customHeight="true" outlineLevel="0" collapsed="false">
      <c r="A75" s="11"/>
      <c r="B75" s="12"/>
      <c r="C75" s="12"/>
      <c r="D75" s="16"/>
      <c r="E75" s="24"/>
      <c r="F75" s="40"/>
      <c r="G75" s="11"/>
      <c r="H75" s="12"/>
      <c r="I75" s="13"/>
      <c r="J75" s="14"/>
      <c r="K75" s="14"/>
      <c r="L75" s="21" t="n">
        <f aca="false">DATEDIF(J75,K75,"d")</f>
        <v>0</v>
      </c>
      <c r="M75" s="15"/>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row>
    <row r="76" customFormat="false" ht="12.75" hidden="false" customHeight="true" outlineLevel="0" collapsed="false">
      <c r="A76" s="11" t="n">
        <v>39</v>
      </c>
      <c r="B76" s="22"/>
      <c r="C76" s="22"/>
      <c r="D76" s="16" t="s">
        <v>24</v>
      </c>
      <c r="E76" s="23" t="s">
        <v>74</v>
      </c>
      <c r="F76" s="11" t="s">
        <v>41</v>
      </c>
      <c r="G76" s="11" t="s">
        <v>34</v>
      </c>
      <c r="H76" s="12" t="s">
        <v>55</v>
      </c>
      <c r="I76" s="13"/>
      <c r="J76" s="31" t="n">
        <v>43234</v>
      </c>
      <c r="K76" s="31" t="n">
        <v>43236</v>
      </c>
      <c r="L76" s="21" t="n">
        <f aca="false">DATEDIF(J76,K76,"d")</f>
        <v>2</v>
      </c>
      <c r="M76" s="15" t="n">
        <f aca="true">IF(AND($J76&lt;&gt;"",$K76&lt;&gt;""),DATEDIF(TODAY(),K76,"d"),"未定")</f>
        <v>9</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row>
    <row r="77" customFormat="false" ht="12.75" hidden="false" customHeight="true" outlineLevel="0" collapsed="false">
      <c r="A77" s="11"/>
      <c r="B77" s="22"/>
      <c r="C77" s="22"/>
      <c r="D77" s="16"/>
      <c r="E77" s="23"/>
      <c r="F77" s="11"/>
      <c r="G77" s="11"/>
      <c r="H77" s="12"/>
      <c r="I77" s="13"/>
      <c r="J77" s="14"/>
      <c r="K77" s="14"/>
      <c r="L77" s="21" t="n">
        <f aca="false">DATEDIF(J77,K77,"d")</f>
        <v>0</v>
      </c>
      <c r="M77" s="15"/>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row>
    <row r="78" customFormat="false" ht="12.75" hidden="false" customHeight="true" outlineLevel="0" collapsed="false">
      <c r="A78" s="11" t="n">
        <v>41</v>
      </c>
      <c r="B78" s="12"/>
      <c r="C78" s="12"/>
      <c r="D78" s="16" t="s">
        <v>24</v>
      </c>
      <c r="E78" s="24" t="s">
        <v>75</v>
      </c>
      <c r="F78" s="11" t="s">
        <v>41</v>
      </c>
      <c r="G78" s="11" t="s">
        <v>34</v>
      </c>
      <c r="H78" s="12" t="s">
        <v>55</v>
      </c>
      <c r="I78" s="13"/>
      <c r="J78" s="31" t="n">
        <v>43236</v>
      </c>
      <c r="K78" s="31" t="n">
        <v>43238</v>
      </c>
      <c r="L78" s="21" t="n">
        <f aca="false">DATEDIF(J78,K78,"d")</f>
        <v>2</v>
      </c>
      <c r="M78" s="15" t="n">
        <f aca="true">IF(AND($J78&lt;&gt;"",$K78&lt;&gt;""),DATEDIF(TODAY(),K78,"d"),"未定")</f>
        <v>11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row>
    <row r="79" customFormat="false" ht="12.75" hidden="false" customHeight="true" outlineLevel="0" collapsed="false">
      <c r="A79" s="11"/>
      <c r="B79" s="12"/>
      <c r="C79" s="12"/>
      <c r="D79" s="16"/>
      <c r="E79" s="24"/>
      <c r="F79" s="11"/>
      <c r="G79" s="11"/>
      <c r="H79" s="12"/>
      <c r="I79" s="13"/>
      <c r="J79" s="14"/>
      <c r="K79" s="14"/>
      <c r="L79" s="21" t="n">
        <f aca="false">DATEDIF(J79,K79,"d")</f>
        <v>0</v>
      </c>
      <c r="M79" s="15"/>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row>
    <row r="80" customFormat="false" ht="12.75" hidden="false" customHeight="true" outlineLevel="0" collapsed="false">
      <c r="A80" s="11" t="n">
        <v>42</v>
      </c>
      <c r="B80" s="12"/>
      <c r="C80" s="12"/>
      <c r="D80" s="16" t="s">
        <v>24</v>
      </c>
      <c r="E80" s="24" t="s">
        <v>76</v>
      </c>
      <c r="F80" s="11" t="s">
        <v>43</v>
      </c>
      <c r="G80" s="11" t="s">
        <v>34</v>
      </c>
      <c r="H80" s="12" t="s">
        <v>55</v>
      </c>
      <c r="I80" s="13"/>
      <c r="J80" s="31" t="n">
        <v>43234</v>
      </c>
      <c r="K80" s="31" t="n">
        <v>43237</v>
      </c>
      <c r="L80" s="21" t="n">
        <f aca="false">DATEDIF(J80,K80,"d")</f>
        <v>3</v>
      </c>
      <c r="M80" s="15" t="n">
        <f aca="true">IF(AND($J80&lt;&gt;"",$K80&lt;&gt;""),DATEDIF(TODAY(),K80,"d"),"未定")</f>
        <v>10</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row>
    <row r="81" customFormat="false" ht="12.75" hidden="false" customHeight="true" outlineLevel="0" collapsed="false">
      <c r="A81" s="11"/>
      <c r="B81" s="12"/>
      <c r="C81" s="12"/>
      <c r="D81" s="16"/>
      <c r="E81" s="24"/>
      <c r="F81" s="11"/>
      <c r="G81" s="11"/>
      <c r="H81" s="12"/>
      <c r="I81" s="13"/>
      <c r="J81" s="14"/>
      <c r="K81" s="14"/>
      <c r="L81" s="21" t="n">
        <f aca="false">DATEDIF(J81,K81,"d")</f>
        <v>0</v>
      </c>
      <c r="M81" s="15"/>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row>
    <row r="82" customFormat="false" ht="12.75" hidden="false" customHeight="true" outlineLevel="0" collapsed="false">
      <c r="A82" s="11" t="n">
        <v>43</v>
      </c>
      <c r="B82" s="12"/>
      <c r="C82" s="12"/>
      <c r="D82" s="16" t="s">
        <v>24</v>
      </c>
      <c r="E82" s="24" t="s">
        <v>77</v>
      </c>
      <c r="F82" s="11" t="s">
        <v>37</v>
      </c>
      <c r="G82" s="11" t="s">
        <v>34</v>
      </c>
      <c r="H82" s="12" t="s">
        <v>55</v>
      </c>
      <c r="I82" s="13"/>
      <c r="J82" s="31" t="n">
        <v>43237</v>
      </c>
      <c r="K82" s="31" t="n">
        <v>43238</v>
      </c>
      <c r="L82" s="21" t="n">
        <f aca="false">DATEDIF(J82,K82,"d")</f>
        <v>1</v>
      </c>
      <c r="M82" s="15" t="n">
        <f aca="true">IF(AND($J82&lt;&gt;"",$K82&lt;&gt;""),DATEDIF(TODAY(),K82,"d"),"未定")</f>
        <v>11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row>
    <row r="83" customFormat="false" ht="12.75" hidden="false" customHeight="true" outlineLevel="0" collapsed="false">
      <c r="A83" s="11"/>
      <c r="B83" s="12"/>
      <c r="C83" s="12"/>
      <c r="D83" s="16"/>
      <c r="E83" s="24"/>
      <c r="F83" s="11"/>
      <c r="G83" s="11"/>
      <c r="H83" s="12"/>
      <c r="I83" s="13"/>
      <c r="J83" s="14"/>
      <c r="K83" s="14"/>
      <c r="L83" s="21" t="n">
        <f aca="false">DATEDIF(J83,K83,"d")</f>
        <v>0</v>
      </c>
      <c r="M83" s="15"/>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row>
    <row r="84" customFormat="false" ht="12.75" hidden="false" customHeight="true" outlineLevel="0" collapsed="false">
      <c r="A84" s="11" t="n">
        <v>44</v>
      </c>
      <c r="B84" s="12"/>
      <c r="C84" s="12"/>
      <c r="D84" s="16" t="s">
        <v>24</v>
      </c>
      <c r="E84" s="24" t="s">
        <v>78</v>
      </c>
      <c r="F84" s="11" t="s">
        <v>37</v>
      </c>
      <c r="G84" s="11" t="s">
        <v>47</v>
      </c>
      <c r="H84" s="12" t="s">
        <v>55</v>
      </c>
      <c r="I84" s="13"/>
      <c r="J84" s="31" t="n">
        <v>43237</v>
      </c>
      <c r="K84" s="31" t="n">
        <v>43238</v>
      </c>
      <c r="L84" s="21" t="n">
        <f aca="false">DATEDIF(J84,K84,"d")</f>
        <v>1</v>
      </c>
      <c r="M84" s="15" t="n">
        <f aca="true">IF(AND($J84&lt;&gt;"",$K84&lt;&gt;""),DATEDIF(TODAY(),K84,"d"),"未定")</f>
        <v>11</v>
      </c>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row>
    <row r="85" customFormat="false" ht="12.75" hidden="false" customHeight="true" outlineLevel="0" collapsed="false">
      <c r="A85" s="11"/>
      <c r="B85" s="12"/>
      <c r="C85" s="12"/>
      <c r="D85" s="16"/>
      <c r="E85" s="24"/>
      <c r="F85" s="11"/>
      <c r="G85" s="11"/>
      <c r="H85" s="12"/>
      <c r="I85" s="13"/>
      <c r="J85" s="14"/>
      <c r="K85" s="14"/>
      <c r="L85" s="21" t="n">
        <f aca="false">DATEDIF(J85,K85,"d")</f>
        <v>0</v>
      </c>
      <c r="M85" s="15"/>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row>
    <row r="86" customFormat="false" ht="12.75" hidden="false" customHeight="true" outlineLevel="0" collapsed="false">
      <c r="A86" s="11" t="n">
        <v>45</v>
      </c>
      <c r="B86" s="12"/>
      <c r="C86" s="12"/>
      <c r="D86" s="16" t="s">
        <v>24</v>
      </c>
      <c r="E86" s="24" t="s">
        <v>79</v>
      </c>
      <c r="F86" s="11" t="s">
        <v>46</v>
      </c>
      <c r="G86" s="11" t="s">
        <v>47</v>
      </c>
      <c r="H86" s="12" t="s">
        <v>55</v>
      </c>
      <c r="I86" s="13"/>
      <c r="J86" s="31" t="n">
        <v>43234</v>
      </c>
      <c r="K86" s="31" t="n">
        <v>43237</v>
      </c>
      <c r="L86" s="21" t="n">
        <f aca="false">DATEDIF(J86,K86,"d")</f>
        <v>3</v>
      </c>
      <c r="M86" s="15" t="n">
        <f aca="true">IF(AND($J86&lt;&gt;"",$K86&lt;&gt;""),DATEDIF(TODAY(),K86,"d"),"未定")</f>
        <v>10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row>
    <row r="87" customFormat="false" ht="12.75" hidden="false" customHeight="true" outlineLevel="0" collapsed="false">
      <c r="A87" s="11"/>
      <c r="B87" s="12"/>
      <c r="C87" s="12"/>
      <c r="D87" s="16"/>
      <c r="E87" s="24"/>
      <c r="F87" s="11"/>
      <c r="G87" s="11"/>
      <c r="H87" s="12"/>
      <c r="I87" s="13"/>
      <c r="J87" s="14"/>
      <c r="K87" s="14"/>
      <c r="L87" s="21" t="n">
        <f aca="false">DATEDIF(J87,K87,"d")</f>
        <v>0</v>
      </c>
      <c r="M87" s="15"/>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row>
    <row r="88" customFormat="false" ht="12.75" hidden="false" customHeight="true" outlineLevel="0" collapsed="false">
      <c r="A88" s="11" t="n">
        <v>50</v>
      </c>
      <c r="B88" s="22"/>
      <c r="C88" s="22"/>
      <c r="D88" s="23" t="s">
        <v>24</v>
      </c>
      <c r="E88" s="41" t="s">
        <v>80</v>
      </c>
      <c r="F88" s="28" t="s">
        <v>46</v>
      </c>
      <c r="G88" s="11" t="s">
        <v>27</v>
      </c>
      <c r="H88" s="12" t="s">
        <v>55</v>
      </c>
      <c r="I88" s="13"/>
      <c r="J88" s="31" t="n">
        <v>43234</v>
      </c>
      <c r="K88" s="31" t="n">
        <v>43237</v>
      </c>
      <c r="L88" s="21" t="n">
        <f aca="false">DATEDIF(J88,K88,"d")</f>
        <v>3</v>
      </c>
      <c r="M88" s="15"/>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row>
    <row r="89" customFormat="false" ht="12.75" hidden="false" customHeight="true" outlineLevel="0" collapsed="false">
      <c r="A89" s="11"/>
      <c r="B89" s="22"/>
      <c r="C89" s="22"/>
      <c r="D89" s="22"/>
      <c r="E89" s="22"/>
      <c r="F89" s="22"/>
      <c r="G89" s="11"/>
      <c r="H89" s="12"/>
      <c r="I89" s="13"/>
      <c r="J89" s="14"/>
      <c r="K89" s="14"/>
      <c r="L89" s="21" t="n">
        <f aca="false">DATEDIF(J89,K89,"d")</f>
        <v>0</v>
      </c>
      <c r="M89" s="15"/>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row>
    <row r="90" customFormat="false" ht="12.75" hidden="false" customHeight="true" outlineLevel="0" collapsed="false">
      <c r="A90" s="11"/>
      <c r="B90" s="22"/>
      <c r="C90" s="22"/>
      <c r="D90" s="23"/>
      <c r="E90" s="42"/>
      <c r="F90" s="11"/>
      <c r="G90" s="30"/>
      <c r="H90" s="12"/>
      <c r="I90" s="13"/>
      <c r="J90" s="14"/>
      <c r="K90" s="14"/>
      <c r="L90" s="21"/>
      <c r="M90" s="15" t="str">
        <f aca="true">IF(AND($J90&lt;&gt;"",$K90&lt;&gt;""),DATEDIF(TODAY(),K90,"d"),"未定")</f>
        <v>未定</v>
      </c>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row>
    <row r="91" customFormat="false" ht="12.75" hidden="false" customHeight="true" outlineLevel="0" collapsed="false">
      <c r="A91" s="11"/>
      <c r="B91" s="22"/>
      <c r="C91" s="22"/>
      <c r="D91" s="22"/>
      <c r="E91" s="42"/>
      <c r="F91" s="11"/>
      <c r="G91" s="30"/>
      <c r="H91" s="12"/>
      <c r="I91" s="13"/>
      <c r="J91" s="14"/>
      <c r="K91" s="14"/>
      <c r="L91" s="21"/>
      <c r="M91" s="15"/>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row>
    <row r="92" customFormat="false" ht="12.75" hidden="false" customHeight="true" outlineLevel="0" collapsed="false">
      <c r="A92" s="11" t="n">
        <v>50</v>
      </c>
      <c r="B92" s="22"/>
      <c r="C92" s="12" t="s">
        <v>81</v>
      </c>
      <c r="D92" s="16"/>
      <c r="E92" s="42"/>
      <c r="F92" s="11"/>
      <c r="G92" s="30"/>
      <c r="H92" s="12"/>
      <c r="I92" s="13"/>
      <c r="J92" s="14"/>
      <c r="K92" s="14"/>
      <c r="L92" s="21"/>
      <c r="M92" s="15"/>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row>
    <row r="93" customFormat="false" ht="12.75" hidden="false" customHeight="true" outlineLevel="0" collapsed="false">
      <c r="A93" s="11"/>
      <c r="B93" s="22"/>
      <c r="C93" s="12"/>
      <c r="D93" s="16"/>
      <c r="E93" s="42"/>
      <c r="F93" s="11"/>
      <c r="G93" s="30"/>
      <c r="H93" s="12"/>
      <c r="I93" s="13"/>
      <c r="J93" s="14"/>
      <c r="K93" s="14"/>
      <c r="L93" s="21"/>
      <c r="M93" s="15"/>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row>
    <row r="94" customFormat="false" ht="12.75" hidden="false" customHeight="true" outlineLevel="0" collapsed="false">
      <c r="A94" s="11" t="n">
        <v>50</v>
      </c>
      <c r="B94" s="22"/>
      <c r="C94" s="12"/>
      <c r="D94" s="16" t="s">
        <v>24</v>
      </c>
      <c r="E94" s="43" t="s">
        <v>82</v>
      </c>
      <c r="F94" s="11" t="s">
        <v>83</v>
      </c>
      <c r="G94" s="30" t="s">
        <v>27</v>
      </c>
      <c r="H94" s="12" t="s">
        <v>55</v>
      </c>
      <c r="I94" s="13"/>
      <c r="J94" s="14" t="n">
        <v>43236</v>
      </c>
      <c r="K94" s="14" t="n">
        <v>43237</v>
      </c>
      <c r="L94" s="21" t="n">
        <f aca="false">DATEDIF(J94,K94,"d")</f>
        <v>1</v>
      </c>
      <c r="M94" s="15"/>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row>
    <row r="95" customFormat="false" ht="12.75" hidden="false" customHeight="true" outlineLevel="0" collapsed="false">
      <c r="A95" s="11"/>
      <c r="B95" s="22"/>
      <c r="C95" s="12"/>
      <c r="D95" s="16"/>
      <c r="E95" s="43"/>
      <c r="F95" s="11"/>
      <c r="G95" s="30"/>
      <c r="H95" s="12"/>
      <c r="I95" s="13"/>
      <c r="J95" s="14"/>
      <c r="K95" s="14"/>
      <c r="L95" s="21" t="n">
        <f aca="false">DATEDIF(J95,K95,"d")</f>
        <v>0</v>
      </c>
      <c r="M95" s="15"/>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row>
    <row r="96" customFormat="false" ht="12.75" hidden="false" customHeight="true" outlineLevel="0" collapsed="false">
      <c r="A96" s="11" t="n">
        <v>50</v>
      </c>
      <c r="B96" s="22"/>
      <c r="C96" s="12"/>
      <c r="D96" s="16" t="s">
        <v>24</v>
      </c>
      <c r="E96" s="43" t="s">
        <v>84</v>
      </c>
      <c r="F96" s="11" t="s">
        <v>83</v>
      </c>
      <c r="G96" s="30" t="s">
        <v>27</v>
      </c>
      <c r="H96" s="12" t="s">
        <v>55</v>
      </c>
      <c r="I96" s="13"/>
      <c r="J96" s="14" t="n">
        <v>43236</v>
      </c>
      <c r="K96" s="14" t="n">
        <v>43237</v>
      </c>
      <c r="L96" s="21" t="n">
        <f aca="false">DATEDIF(J96,K96,"d")</f>
        <v>1</v>
      </c>
      <c r="M96" s="15"/>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row>
    <row r="97" customFormat="false" ht="12.75" hidden="false" customHeight="true" outlineLevel="0" collapsed="false">
      <c r="A97" s="11"/>
      <c r="B97" s="22"/>
      <c r="C97" s="12"/>
      <c r="D97" s="16"/>
      <c r="E97" s="43"/>
      <c r="F97" s="11"/>
      <c r="G97" s="30"/>
      <c r="H97" s="12"/>
      <c r="I97" s="13"/>
      <c r="J97" s="14"/>
      <c r="K97" s="14"/>
      <c r="L97" s="21" t="n">
        <f aca="false">DATEDIF(J97,K97,"d")</f>
        <v>0</v>
      </c>
      <c r="M97" s="15"/>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row>
    <row r="98" customFormat="false" ht="12.75" hidden="false" customHeight="true" outlineLevel="0" collapsed="false">
      <c r="A98" s="11" t="n">
        <v>50</v>
      </c>
      <c r="B98" s="22"/>
      <c r="C98" s="12" t="s">
        <v>85</v>
      </c>
      <c r="D98" s="16"/>
      <c r="E98" s="43"/>
      <c r="F98" s="11"/>
      <c r="G98" s="30"/>
      <c r="H98" s="12"/>
      <c r="I98" s="13"/>
      <c r="J98" s="14"/>
      <c r="K98" s="14"/>
      <c r="L98" s="21"/>
      <c r="M98" s="15"/>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row>
    <row r="99" customFormat="false" ht="12.75" hidden="false" customHeight="true" outlineLevel="0" collapsed="false">
      <c r="A99" s="11"/>
      <c r="B99" s="22"/>
      <c r="C99" s="12"/>
      <c r="D99" s="16"/>
      <c r="E99" s="43"/>
      <c r="F99" s="11"/>
      <c r="G99" s="30"/>
      <c r="H99" s="12"/>
      <c r="I99" s="13"/>
      <c r="J99" s="14"/>
      <c r="K99" s="14"/>
      <c r="L99" s="21"/>
      <c r="M99" s="15"/>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row>
    <row r="100" customFormat="false" ht="12.75" hidden="false" customHeight="true" outlineLevel="0" collapsed="false">
      <c r="A100" s="11" t="n">
        <v>50</v>
      </c>
      <c r="B100" s="22"/>
      <c r="C100" s="12"/>
      <c r="D100" s="16" t="s">
        <v>24</v>
      </c>
      <c r="E100" s="43" t="s">
        <v>85</v>
      </c>
      <c r="F100" s="11" t="s">
        <v>86</v>
      </c>
      <c r="G100" s="30" t="s">
        <v>27</v>
      </c>
      <c r="H100" s="12" t="s">
        <v>55</v>
      </c>
      <c r="I100" s="13"/>
      <c r="J100" s="14" t="n">
        <v>43236</v>
      </c>
      <c r="K100" s="14" t="n">
        <v>43236</v>
      </c>
      <c r="L100" s="21"/>
      <c r="M100" s="15"/>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row>
    <row r="101" customFormat="false" ht="12.75" hidden="false" customHeight="true" outlineLevel="0" collapsed="false">
      <c r="A101" s="11"/>
      <c r="B101" s="22"/>
      <c r="C101" s="12"/>
      <c r="D101" s="16"/>
      <c r="E101" s="43"/>
      <c r="F101" s="11"/>
      <c r="G101" s="30"/>
      <c r="H101" s="12"/>
      <c r="I101" s="13"/>
      <c r="J101" s="14"/>
      <c r="K101" s="14"/>
      <c r="L101" s="21"/>
      <c r="M101" s="15"/>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row>
    <row r="102" customFormat="false" ht="12.75" hidden="false" customHeight="true" outlineLevel="0" collapsed="false">
      <c r="A102" s="11" t="n">
        <v>50</v>
      </c>
      <c r="B102" s="22"/>
      <c r="C102" s="12" t="s">
        <v>87</v>
      </c>
      <c r="D102" s="16"/>
      <c r="E102" s="43"/>
      <c r="F102" s="11"/>
      <c r="G102" s="30"/>
      <c r="H102" s="12"/>
      <c r="I102" s="13"/>
      <c r="J102" s="14"/>
      <c r="K102" s="14"/>
      <c r="L102" s="21"/>
      <c r="M102" s="15"/>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row>
    <row r="103" customFormat="false" ht="12.75" hidden="false" customHeight="true" outlineLevel="0" collapsed="false">
      <c r="A103" s="11"/>
      <c r="B103" s="22"/>
      <c r="C103" s="12"/>
      <c r="D103" s="16"/>
      <c r="E103" s="43"/>
      <c r="F103" s="11"/>
      <c r="G103" s="30"/>
      <c r="H103" s="12"/>
      <c r="I103" s="13"/>
      <c r="J103" s="14"/>
      <c r="K103" s="14"/>
      <c r="L103" s="21"/>
      <c r="M103" s="15"/>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row>
    <row r="104" customFormat="false" ht="12.75" hidden="false" customHeight="true" outlineLevel="0" collapsed="false">
      <c r="A104" s="11" t="n">
        <v>50</v>
      </c>
      <c r="B104" s="22"/>
      <c r="C104" s="12"/>
      <c r="D104" s="16" t="s">
        <v>24</v>
      </c>
      <c r="E104" s="43" t="s">
        <v>88</v>
      </c>
      <c r="F104" s="11" t="s">
        <v>83</v>
      </c>
      <c r="G104" s="30" t="s">
        <v>27</v>
      </c>
      <c r="H104" s="12" t="s">
        <v>55</v>
      </c>
      <c r="I104" s="13"/>
      <c r="J104" s="14" t="n">
        <v>43234</v>
      </c>
      <c r="K104" s="14" t="n">
        <v>43234</v>
      </c>
      <c r="L104" s="21"/>
      <c r="M104" s="15"/>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row>
    <row r="105" customFormat="false" ht="12.75" hidden="false" customHeight="true" outlineLevel="0" collapsed="false">
      <c r="A105" s="11"/>
      <c r="B105" s="22"/>
      <c r="C105" s="12"/>
      <c r="D105" s="16"/>
      <c r="E105" s="43"/>
      <c r="F105" s="11"/>
      <c r="G105" s="30"/>
      <c r="H105" s="12"/>
      <c r="I105" s="13"/>
      <c r="J105" s="14"/>
      <c r="K105" s="14"/>
      <c r="L105" s="21"/>
      <c r="M105" s="15"/>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row>
    <row r="106" customFormat="false" ht="12.75" hidden="false" customHeight="true" outlineLevel="0" collapsed="false">
      <c r="A106" s="11" t="n">
        <v>50</v>
      </c>
      <c r="B106" s="22"/>
      <c r="C106" s="12"/>
      <c r="D106" s="23" t="s">
        <v>65</v>
      </c>
      <c r="E106" s="43" t="s">
        <v>89</v>
      </c>
      <c r="F106" s="11" t="s">
        <v>90</v>
      </c>
      <c r="G106" s="30" t="s">
        <v>27</v>
      </c>
      <c r="H106" s="12" t="s">
        <v>55</v>
      </c>
      <c r="I106" s="13"/>
      <c r="J106" s="14"/>
      <c r="K106" s="14"/>
      <c r="L106" s="21"/>
      <c r="M106" s="15"/>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row>
    <row r="107" customFormat="false" ht="12.75" hidden="false" customHeight="true" outlineLevel="0" collapsed="false">
      <c r="A107" s="11"/>
      <c r="B107" s="22"/>
      <c r="C107" s="12"/>
      <c r="D107" s="23"/>
      <c r="E107" s="43"/>
      <c r="F107" s="11"/>
      <c r="G107" s="30"/>
      <c r="H107" s="12"/>
      <c r="I107" s="13"/>
      <c r="J107" s="14"/>
      <c r="K107" s="14"/>
      <c r="L107" s="21"/>
      <c r="M107" s="15"/>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row>
    <row r="108" customFormat="false" ht="12.75" hidden="false" customHeight="true" outlineLevel="0" collapsed="false">
      <c r="A108" s="11" t="n">
        <v>51</v>
      </c>
      <c r="B108" s="22" t="s">
        <v>91</v>
      </c>
      <c r="C108" s="22" t="s">
        <v>92</v>
      </c>
      <c r="D108" s="23"/>
      <c r="E108" s="23" t="s">
        <v>91</v>
      </c>
      <c r="F108" s="28"/>
      <c r="G108" s="44"/>
      <c r="H108" s="12" t="s">
        <v>55</v>
      </c>
      <c r="I108" s="13"/>
      <c r="J108" s="14" t="n">
        <v>43243</v>
      </c>
      <c r="K108" s="14" t="n">
        <v>43245</v>
      </c>
      <c r="L108" s="21" t="n">
        <f aca="false">DATEDIF(J108,K108,"d")</f>
        <v>2</v>
      </c>
      <c r="M108" s="15" t="n">
        <f aca="true">IF(AND($J108&lt;&gt;"",$K108&lt;&gt;""),DATEDIF(TODAY(),K108,"d"),"未定")</f>
        <v>18</v>
      </c>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row>
    <row r="109" customFormat="false" ht="12.75" hidden="false" customHeight="true" outlineLevel="0" collapsed="false">
      <c r="A109" s="11"/>
      <c r="B109" s="22"/>
      <c r="C109" s="22"/>
      <c r="D109" s="22"/>
      <c r="E109" s="22"/>
      <c r="F109" s="22"/>
      <c r="G109" s="44"/>
      <c r="H109" s="44"/>
      <c r="I109" s="44"/>
      <c r="J109" s="14"/>
      <c r="K109" s="14"/>
      <c r="L109" s="21" t="n">
        <f aca="false">DATEDIF(J109,K109,"d")</f>
        <v>0</v>
      </c>
      <c r="M109" s="15"/>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row>
    <row r="110" customFormat="false" ht="12.75" hidden="false" customHeight="true" outlineLevel="0" collapsed="false">
      <c r="A110" s="11"/>
      <c r="B110" s="22"/>
      <c r="C110" s="22"/>
      <c r="D110" s="22"/>
      <c r="E110" s="22"/>
      <c r="F110" s="22"/>
      <c r="G110" s="44"/>
      <c r="H110" s="12"/>
      <c r="I110" s="13"/>
      <c r="J110" s="14"/>
      <c r="K110" s="14"/>
      <c r="L110" s="21" t="n">
        <f aca="false">DATEDIF(J110,K110,"d")</f>
        <v>0</v>
      </c>
      <c r="M110" s="15"/>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row>
    <row r="111" customFormat="false" ht="12.75" hidden="false" customHeight="true" outlineLevel="0" collapsed="false">
      <c r="A111" s="11" t="n">
        <v>52</v>
      </c>
      <c r="B111" s="28"/>
      <c r="C111" s="28" t="s">
        <v>93</v>
      </c>
      <c r="D111" s="29"/>
      <c r="E111" s="29" t="s">
        <v>91</v>
      </c>
      <c r="F111" s="28"/>
      <c r="G111" s="28"/>
      <c r="H111" s="12" t="s">
        <v>55</v>
      </c>
      <c r="I111" s="13"/>
      <c r="J111" s="14" t="n">
        <v>43243</v>
      </c>
      <c r="K111" s="14" t="n">
        <v>43245</v>
      </c>
      <c r="L111" s="21" t="n">
        <f aca="false">DATEDIF(J111,K111,"d")</f>
        <v>2</v>
      </c>
      <c r="M111" s="15" t="n">
        <f aca="true">IF(AND($J111&lt;&gt;"",$K111&lt;&gt;""),DATEDIF(TODAY(),K111,"d"),"未定")</f>
        <v>18</v>
      </c>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row>
    <row r="112" customFormat="false" ht="12.75" hidden="false" customHeight="true" outlineLevel="0" collapsed="false">
      <c r="A112" s="11"/>
      <c r="B112" s="28"/>
      <c r="C112" s="28"/>
      <c r="D112" s="28"/>
      <c r="E112" s="28"/>
      <c r="F112" s="28"/>
      <c r="G112" s="28"/>
      <c r="H112" s="12"/>
      <c r="I112" s="13"/>
      <c r="J112" s="14"/>
      <c r="K112" s="14"/>
      <c r="L112" s="21" t="n">
        <f aca="false">DATEDIF(J112,K112,"d")</f>
        <v>0</v>
      </c>
      <c r="M112" s="15"/>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row>
    <row r="113" customFormat="false" ht="12.75" hidden="false" customHeight="true" outlineLevel="0" collapsed="false">
      <c r="A113" s="11" t="n">
        <v>53</v>
      </c>
      <c r="B113" s="28" t="s">
        <v>94</v>
      </c>
      <c r="C113" s="28" t="s">
        <v>92</v>
      </c>
      <c r="D113" s="29"/>
      <c r="E113" s="29" t="s">
        <v>94</v>
      </c>
      <c r="F113" s="28"/>
      <c r="G113" s="28"/>
      <c r="H113" s="12" t="s">
        <v>55</v>
      </c>
      <c r="I113" s="13"/>
      <c r="J113" s="14" t="n">
        <v>43243</v>
      </c>
      <c r="K113" s="14" t="n">
        <v>43251</v>
      </c>
      <c r="L113" s="21" t="n">
        <f aca="false">DATEDIF(J113,K113,"d")</f>
        <v>8</v>
      </c>
      <c r="M113" s="15" t="n">
        <f aca="true">IF(AND($J113&lt;&gt;"",$K113&lt;&gt;""),DATEDIF(TODAY(),K113,"d"),"未定")</f>
        <v>24</v>
      </c>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row>
    <row r="114" customFormat="false" ht="12.75" hidden="false" customHeight="true" outlineLevel="0" collapsed="false">
      <c r="A114" s="11"/>
      <c r="B114" s="28"/>
      <c r="C114" s="28"/>
      <c r="D114" s="28"/>
      <c r="E114" s="28"/>
      <c r="F114" s="28"/>
      <c r="G114" s="28"/>
      <c r="H114" s="12"/>
      <c r="I114" s="13"/>
      <c r="J114" s="14"/>
      <c r="K114" s="14"/>
      <c r="L114" s="21" t="n">
        <f aca="false">DATEDIF(J114,K114,"d")</f>
        <v>0</v>
      </c>
      <c r="M114" s="15"/>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row>
    <row r="115" customFormat="false" ht="12.75" hidden="false" customHeight="true" outlineLevel="0" collapsed="false">
      <c r="A115" s="11" t="n">
        <v>54</v>
      </c>
      <c r="B115" s="28"/>
      <c r="C115" s="28" t="s">
        <v>93</v>
      </c>
      <c r="D115" s="29"/>
      <c r="E115" s="29" t="s">
        <v>94</v>
      </c>
      <c r="F115" s="28"/>
      <c r="G115" s="28"/>
      <c r="H115" s="12" t="s">
        <v>55</v>
      </c>
      <c r="I115" s="13"/>
      <c r="J115" s="14" t="n">
        <v>43243</v>
      </c>
      <c r="K115" s="14" t="n">
        <v>43251</v>
      </c>
      <c r="L115" s="21" t="n">
        <f aca="false">DATEDIF(J115,K115,"d")</f>
        <v>8</v>
      </c>
      <c r="M115" s="15" t="n">
        <f aca="true">IF(AND($J115&lt;&gt;"",$K115&lt;&gt;""),DATEDIF(TODAY(),K115,"d"),"未定")</f>
        <v>24</v>
      </c>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row>
    <row r="116" customFormat="false" ht="12.75" hidden="false" customHeight="true" outlineLevel="0" collapsed="false">
      <c r="A116" s="11"/>
      <c r="B116" s="28"/>
      <c r="C116" s="28"/>
      <c r="D116" s="28"/>
      <c r="E116" s="28"/>
      <c r="F116" s="28"/>
      <c r="G116" s="28"/>
      <c r="H116" s="12"/>
      <c r="I116" s="13"/>
      <c r="J116" s="14"/>
      <c r="K116" s="14"/>
      <c r="L116" s="21" t="n">
        <f aca="false">DATEDIF(J116,K116,"d")</f>
        <v>0</v>
      </c>
      <c r="M116" s="15"/>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row>
    <row r="117" customFormat="false" ht="12.75" hidden="false" customHeight="true" outlineLevel="0" collapsed="false">
      <c r="A117" s="11" t="n">
        <v>55</v>
      </c>
      <c r="B117" s="28" t="s">
        <v>95</v>
      </c>
      <c r="C117" s="28" t="s">
        <v>92</v>
      </c>
      <c r="D117" s="29"/>
      <c r="E117" s="29" t="s">
        <v>95</v>
      </c>
      <c r="F117" s="28"/>
      <c r="G117" s="28"/>
      <c r="H117" s="12" t="s">
        <v>55</v>
      </c>
      <c r="I117" s="13"/>
      <c r="J117" s="14" t="n">
        <v>43243</v>
      </c>
      <c r="K117" s="14" t="n">
        <v>43251</v>
      </c>
      <c r="L117" s="21" t="n">
        <f aca="false">DATEDIF(J117,K117,"d")</f>
        <v>8</v>
      </c>
      <c r="M117" s="15" t="n">
        <f aca="true">IF(AND($J117&lt;&gt;"",$K117&lt;&gt;""),DATEDIF(TODAY(),K117,"d"),"未定")</f>
        <v>24</v>
      </c>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row>
    <row r="118" customFormat="false" ht="12.75" hidden="false" customHeight="true" outlineLevel="0" collapsed="false">
      <c r="A118" s="11"/>
      <c r="B118" s="28"/>
      <c r="C118" s="28"/>
      <c r="D118" s="28"/>
      <c r="E118" s="28"/>
      <c r="F118" s="28"/>
      <c r="G118" s="28"/>
      <c r="H118" s="12"/>
      <c r="I118" s="13"/>
      <c r="J118" s="14"/>
      <c r="K118" s="14"/>
      <c r="L118" s="21" t="n">
        <f aca="false">DATEDIF(J118,K118,"d")</f>
        <v>0</v>
      </c>
      <c r="M118" s="15"/>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row>
    <row r="119" customFormat="false" ht="12.75" hidden="false" customHeight="true" outlineLevel="0" collapsed="false">
      <c r="A119" s="11" t="n">
        <v>56</v>
      </c>
      <c r="B119" s="45"/>
      <c r="C119" s="45" t="s">
        <v>93</v>
      </c>
      <c r="D119" s="46"/>
      <c r="E119" s="46" t="s">
        <v>95</v>
      </c>
      <c r="F119" s="45"/>
      <c r="G119" s="45"/>
      <c r="H119" s="12" t="s">
        <v>55</v>
      </c>
      <c r="I119" s="13"/>
      <c r="J119" s="14" t="n">
        <v>43243</v>
      </c>
      <c r="K119" s="14" t="n">
        <v>43251</v>
      </c>
      <c r="L119" s="21" t="n">
        <f aca="false">DATEDIF(J119,K119,"d")</f>
        <v>8</v>
      </c>
      <c r="M119" s="15" t="n">
        <f aca="true">IF(AND($J119&lt;&gt;"",$K119&lt;&gt;""),DATEDIF(TODAY(),K119,"d"),"未定")</f>
        <v>24</v>
      </c>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row>
    <row r="120" customFormat="false" ht="12.75" hidden="false" customHeight="true" outlineLevel="0" collapsed="false">
      <c r="A120" s="11"/>
      <c r="B120" s="45"/>
      <c r="C120" s="45"/>
      <c r="D120" s="45"/>
      <c r="E120" s="45"/>
      <c r="F120" s="45"/>
      <c r="G120" s="45"/>
      <c r="H120" s="12"/>
      <c r="I120" s="13"/>
      <c r="J120" s="14"/>
      <c r="K120" s="14"/>
      <c r="L120" s="21" t="n">
        <f aca="false">DATEDIF(J120,K120,"d")</f>
        <v>0</v>
      </c>
      <c r="M120" s="15"/>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row>
    <row r="121" customFormat="false" ht="12.75" hidden="false" customHeight="true" outlineLevel="0" collapsed="false">
      <c r="A121" s="11"/>
      <c r="B121" s="45"/>
      <c r="C121" s="45"/>
      <c r="D121" s="46"/>
      <c r="E121" s="46"/>
      <c r="F121" s="45"/>
      <c r="G121" s="45"/>
      <c r="H121" s="45"/>
      <c r="I121" s="13"/>
      <c r="J121" s="47"/>
      <c r="K121" s="47"/>
      <c r="L121" s="48"/>
      <c r="M121" s="4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row>
    <row r="122" customFormat="false" ht="12.75" hidden="false" customHeight="true" outlineLevel="0" collapsed="false">
      <c r="A122" s="11"/>
      <c r="B122" s="45"/>
      <c r="C122" s="45"/>
      <c r="D122" s="45"/>
      <c r="E122" s="45"/>
      <c r="F122" s="45"/>
      <c r="G122" s="45"/>
      <c r="H122" s="45"/>
      <c r="I122" s="13"/>
      <c r="J122" s="50"/>
      <c r="K122" s="50"/>
      <c r="L122" s="48"/>
      <c r="M122" s="4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row>
    <row r="123" customFormat="false" ht="12.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sheetData>
  <mergeCells count="648">
    <mergeCell ref="A1:C1"/>
    <mergeCell ref="A2:A3"/>
    <mergeCell ref="B2:B3"/>
    <mergeCell ref="C2:C3"/>
    <mergeCell ref="D2:D3"/>
    <mergeCell ref="E2:E3"/>
    <mergeCell ref="F2:F3"/>
    <mergeCell ref="G2:G3"/>
    <mergeCell ref="H2:H3"/>
    <mergeCell ref="I2:I3"/>
    <mergeCell ref="L2:L3"/>
    <mergeCell ref="M2:M3"/>
    <mergeCell ref="A4:A5"/>
    <mergeCell ref="B4:B5"/>
    <mergeCell ref="C4:C5"/>
    <mergeCell ref="D4:D5"/>
    <mergeCell ref="E4:E5"/>
    <mergeCell ref="F4:F5"/>
    <mergeCell ref="G4:G5"/>
    <mergeCell ref="H4:H5"/>
    <mergeCell ref="I4:I5"/>
    <mergeCell ref="L4:L5"/>
    <mergeCell ref="M4:M5"/>
    <mergeCell ref="A6:A7"/>
    <mergeCell ref="B6:B7"/>
    <mergeCell ref="C6:C7"/>
    <mergeCell ref="D6:D7"/>
    <mergeCell ref="E6:E7"/>
    <mergeCell ref="F6:F7"/>
    <mergeCell ref="G6:G7"/>
    <mergeCell ref="H6:H7"/>
    <mergeCell ref="I6:I7"/>
    <mergeCell ref="L6:L7"/>
    <mergeCell ref="M6:M7"/>
    <mergeCell ref="A8:A9"/>
    <mergeCell ref="B8:B9"/>
    <mergeCell ref="C8:C9"/>
    <mergeCell ref="D8:D9"/>
    <mergeCell ref="E8:E9"/>
    <mergeCell ref="F8:F9"/>
    <mergeCell ref="G8:G9"/>
    <mergeCell ref="H8:H9"/>
    <mergeCell ref="I8:I9"/>
    <mergeCell ref="L8:L9"/>
    <mergeCell ref="M8:M9"/>
    <mergeCell ref="A10:A11"/>
    <mergeCell ref="B10:B11"/>
    <mergeCell ref="C10:C11"/>
    <mergeCell ref="D10:D11"/>
    <mergeCell ref="E10:E11"/>
    <mergeCell ref="F10:F11"/>
    <mergeCell ref="G10:G11"/>
    <mergeCell ref="H10:H11"/>
    <mergeCell ref="I10:I11"/>
    <mergeCell ref="L10:L11"/>
    <mergeCell ref="M10:M11"/>
    <mergeCell ref="A12:A13"/>
    <mergeCell ref="B12:B13"/>
    <mergeCell ref="C12:C13"/>
    <mergeCell ref="D12:D13"/>
    <mergeCell ref="E12:E13"/>
    <mergeCell ref="F12:F13"/>
    <mergeCell ref="G12:G13"/>
    <mergeCell ref="H12:H13"/>
    <mergeCell ref="I12:I13"/>
    <mergeCell ref="L12:L13"/>
    <mergeCell ref="M12:M13"/>
    <mergeCell ref="A14:A15"/>
    <mergeCell ref="B14:B15"/>
    <mergeCell ref="C14:C15"/>
    <mergeCell ref="D14:D15"/>
    <mergeCell ref="E14:E15"/>
    <mergeCell ref="F14:F15"/>
    <mergeCell ref="G14:G15"/>
    <mergeCell ref="H14:H15"/>
    <mergeCell ref="I14:I15"/>
    <mergeCell ref="L14:L15"/>
    <mergeCell ref="M14:M15"/>
    <mergeCell ref="A16:A17"/>
    <mergeCell ref="B16:B17"/>
    <mergeCell ref="C16:C17"/>
    <mergeCell ref="D16:D17"/>
    <mergeCell ref="E16:E17"/>
    <mergeCell ref="F16:F17"/>
    <mergeCell ref="G16:G17"/>
    <mergeCell ref="H16:H17"/>
    <mergeCell ref="I16:I17"/>
    <mergeCell ref="L16:L17"/>
    <mergeCell ref="M16:M17"/>
    <mergeCell ref="A18:A19"/>
    <mergeCell ref="B18:B19"/>
    <mergeCell ref="C18:C19"/>
    <mergeCell ref="D18:D19"/>
    <mergeCell ref="E18:E19"/>
    <mergeCell ref="F18:F19"/>
    <mergeCell ref="G18:G19"/>
    <mergeCell ref="H18:H19"/>
    <mergeCell ref="I18:I19"/>
    <mergeCell ref="L18:L19"/>
    <mergeCell ref="M18:M19"/>
    <mergeCell ref="A20:A21"/>
    <mergeCell ref="B20:B21"/>
    <mergeCell ref="C20:C21"/>
    <mergeCell ref="D20:D21"/>
    <mergeCell ref="E20:E21"/>
    <mergeCell ref="F20:F21"/>
    <mergeCell ref="G20:G21"/>
    <mergeCell ref="H20:H21"/>
    <mergeCell ref="I20:I21"/>
    <mergeCell ref="L20:L21"/>
    <mergeCell ref="M20:M21"/>
    <mergeCell ref="A22:A23"/>
    <mergeCell ref="B22:B23"/>
    <mergeCell ref="C22:C23"/>
    <mergeCell ref="D22:D23"/>
    <mergeCell ref="E22:E23"/>
    <mergeCell ref="F22:F23"/>
    <mergeCell ref="G22:G23"/>
    <mergeCell ref="H22:H23"/>
    <mergeCell ref="I22:I23"/>
    <mergeCell ref="L22:L23"/>
    <mergeCell ref="M22:M23"/>
    <mergeCell ref="A24:A25"/>
    <mergeCell ref="B24:B25"/>
    <mergeCell ref="C24:C25"/>
    <mergeCell ref="D24:D25"/>
    <mergeCell ref="E24:E25"/>
    <mergeCell ref="F24:F25"/>
    <mergeCell ref="G24:G25"/>
    <mergeCell ref="H24:H25"/>
    <mergeCell ref="I24:I25"/>
    <mergeCell ref="L24:L25"/>
    <mergeCell ref="M24:M25"/>
    <mergeCell ref="A26:A27"/>
    <mergeCell ref="B26:B27"/>
    <mergeCell ref="C26:C27"/>
    <mergeCell ref="D26:D27"/>
    <mergeCell ref="E26:E27"/>
    <mergeCell ref="F26:F27"/>
    <mergeCell ref="G26:G27"/>
    <mergeCell ref="H26:H27"/>
    <mergeCell ref="I26:I27"/>
    <mergeCell ref="L26:L27"/>
    <mergeCell ref="M26:M27"/>
    <mergeCell ref="A28:A29"/>
    <mergeCell ref="B28:B29"/>
    <mergeCell ref="C28:C29"/>
    <mergeCell ref="D28:D29"/>
    <mergeCell ref="E28:E29"/>
    <mergeCell ref="F28:F29"/>
    <mergeCell ref="G28:G29"/>
    <mergeCell ref="H28:H29"/>
    <mergeCell ref="I28:I29"/>
    <mergeCell ref="L28:L29"/>
    <mergeCell ref="M28:M29"/>
    <mergeCell ref="A30:A31"/>
    <mergeCell ref="B30:B31"/>
    <mergeCell ref="C30:C31"/>
    <mergeCell ref="D30:D31"/>
    <mergeCell ref="E30:E31"/>
    <mergeCell ref="F30:F31"/>
    <mergeCell ref="G30:G31"/>
    <mergeCell ref="H30:H31"/>
    <mergeCell ref="I30:I31"/>
    <mergeCell ref="L30:L31"/>
    <mergeCell ref="M30:M31"/>
    <mergeCell ref="A32:A33"/>
    <mergeCell ref="B32:B33"/>
    <mergeCell ref="C32:C33"/>
    <mergeCell ref="D32:D33"/>
    <mergeCell ref="E32:E33"/>
    <mergeCell ref="F32:F33"/>
    <mergeCell ref="G32:G33"/>
    <mergeCell ref="H32:H33"/>
    <mergeCell ref="I32:I33"/>
    <mergeCell ref="L32:L33"/>
    <mergeCell ref="M32:M33"/>
    <mergeCell ref="A34:A35"/>
    <mergeCell ref="B34:B35"/>
    <mergeCell ref="C34:C35"/>
    <mergeCell ref="D34:D35"/>
    <mergeCell ref="E34:E35"/>
    <mergeCell ref="F34:F35"/>
    <mergeCell ref="G34:G35"/>
    <mergeCell ref="H34:H35"/>
    <mergeCell ref="I34:I35"/>
    <mergeCell ref="L34:L35"/>
    <mergeCell ref="M34:M35"/>
    <mergeCell ref="A36:A37"/>
    <mergeCell ref="B36:B37"/>
    <mergeCell ref="C36:C37"/>
    <mergeCell ref="D36:D37"/>
    <mergeCell ref="E36:E37"/>
    <mergeCell ref="F36:F37"/>
    <mergeCell ref="G36:G37"/>
    <mergeCell ref="H36:H37"/>
    <mergeCell ref="I36:I37"/>
    <mergeCell ref="L36:L37"/>
    <mergeCell ref="M36:M37"/>
    <mergeCell ref="A38:A39"/>
    <mergeCell ref="B38:B39"/>
    <mergeCell ref="C38:C39"/>
    <mergeCell ref="D38:D39"/>
    <mergeCell ref="E38:E39"/>
    <mergeCell ref="F38:F39"/>
    <mergeCell ref="G38:G39"/>
    <mergeCell ref="H38:H39"/>
    <mergeCell ref="I38:I39"/>
    <mergeCell ref="L38:L39"/>
    <mergeCell ref="M38:M39"/>
    <mergeCell ref="A40:A41"/>
    <mergeCell ref="B40:B41"/>
    <mergeCell ref="C40:C41"/>
    <mergeCell ref="D40:D41"/>
    <mergeCell ref="E40:E41"/>
    <mergeCell ref="F40:F41"/>
    <mergeCell ref="G40:G41"/>
    <mergeCell ref="H40:H41"/>
    <mergeCell ref="I40:I41"/>
    <mergeCell ref="L40:L41"/>
    <mergeCell ref="M40:M41"/>
    <mergeCell ref="A42:A43"/>
    <mergeCell ref="B42:B43"/>
    <mergeCell ref="C42:C43"/>
    <mergeCell ref="D42:D43"/>
    <mergeCell ref="E42:E43"/>
    <mergeCell ref="F42:F43"/>
    <mergeCell ref="G42:G43"/>
    <mergeCell ref="H42:H43"/>
    <mergeCell ref="I42:I43"/>
    <mergeCell ref="L42:L43"/>
    <mergeCell ref="M42:M43"/>
    <mergeCell ref="A44:A45"/>
    <mergeCell ref="B44:B45"/>
    <mergeCell ref="C44:C45"/>
    <mergeCell ref="D44:D45"/>
    <mergeCell ref="E44:E45"/>
    <mergeCell ref="F44:F45"/>
    <mergeCell ref="G44:G45"/>
    <mergeCell ref="H44:H45"/>
    <mergeCell ref="I44:I45"/>
    <mergeCell ref="L44:L45"/>
    <mergeCell ref="M44:M45"/>
    <mergeCell ref="A46:A47"/>
    <mergeCell ref="B46:B47"/>
    <mergeCell ref="C46:C47"/>
    <mergeCell ref="D46:D47"/>
    <mergeCell ref="E46:E47"/>
    <mergeCell ref="F46:F47"/>
    <mergeCell ref="G46:G47"/>
    <mergeCell ref="H46:H47"/>
    <mergeCell ref="I46:I47"/>
    <mergeCell ref="L46:L47"/>
    <mergeCell ref="M46:M47"/>
    <mergeCell ref="A48:A49"/>
    <mergeCell ref="B48:B49"/>
    <mergeCell ref="C48:C49"/>
    <mergeCell ref="D48:D49"/>
    <mergeCell ref="E48:E49"/>
    <mergeCell ref="F48:F49"/>
    <mergeCell ref="G48:G49"/>
    <mergeCell ref="H48:H49"/>
    <mergeCell ref="I48:I49"/>
    <mergeCell ref="L48:L49"/>
    <mergeCell ref="M48:M49"/>
    <mergeCell ref="A50:A51"/>
    <mergeCell ref="B50:B51"/>
    <mergeCell ref="C50:C51"/>
    <mergeCell ref="D50:D51"/>
    <mergeCell ref="E50:E51"/>
    <mergeCell ref="F50:F51"/>
    <mergeCell ref="G50:G51"/>
    <mergeCell ref="H50:H51"/>
    <mergeCell ref="I50:I51"/>
    <mergeCell ref="L50:L51"/>
    <mergeCell ref="M50:M51"/>
    <mergeCell ref="A52:A53"/>
    <mergeCell ref="B52:B53"/>
    <mergeCell ref="C52:C53"/>
    <mergeCell ref="D52:D53"/>
    <mergeCell ref="E52:E53"/>
    <mergeCell ref="F52:F53"/>
    <mergeCell ref="G52:G53"/>
    <mergeCell ref="H52:H53"/>
    <mergeCell ref="I52:I53"/>
    <mergeCell ref="L52:L53"/>
    <mergeCell ref="M52:M53"/>
    <mergeCell ref="A54:A55"/>
    <mergeCell ref="B54:B55"/>
    <mergeCell ref="C54:C55"/>
    <mergeCell ref="D54:D55"/>
    <mergeCell ref="E54:E55"/>
    <mergeCell ref="F54:F55"/>
    <mergeCell ref="G54:G55"/>
    <mergeCell ref="H54:H55"/>
    <mergeCell ref="I54:I55"/>
    <mergeCell ref="L54:L55"/>
    <mergeCell ref="M54:M55"/>
    <mergeCell ref="A56:A57"/>
    <mergeCell ref="B56:B57"/>
    <mergeCell ref="C56:C57"/>
    <mergeCell ref="D56:D57"/>
    <mergeCell ref="E56:E57"/>
    <mergeCell ref="F56:F57"/>
    <mergeCell ref="G56:G57"/>
    <mergeCell ref="H56:H57"/>
    <mergeCell ref="I56:I57"/>
    <mergeCell ref="L56:L57"/>
    <mergeCell ref="M56:M57"/>
    <mergeCell ref="A58:A59"/>
    <mergeCell ref="B58:B59"/>
    <mergeCell ref="C58:C59"/>
    <mergeCell ref="D58:D59"/>
    <mergeCell ref="E58:E59"/>
    <mergeCell ref="F58:F59"/>
    <mergeCell ref="G58:G59"/>
    <mergeCell ref="H58:H59"/>
    <mergeCell ref="I58:I59"/>
    <mergeCell ref="L58:L59"/>
    <mergeCell ref="M58:M59"/>
    <mergeCell ref="A60:A61"/>
    <mergeCell ref="B60:B61"/>
    <mergeCell ref="C60:C61"/>
    <mergeCell ref="D60:D61"/>
    <mergeCell ref="E60:E61"/>
    <mergeCell ref="F60:F61"/>
    <mergeCell ref="G60:G61"/>
    <mergeCell ref="H60:H61"/>
    <mergeCell ref="I60:I61"/>
    <mergeCell ref="L60:L61"/>
    <mergeCell ref="M60:M61"/>
    <mergeCell ref="A62:A63"/>
    <mergeCell ref="B62:B63"/>
    <mergeCell ref="C62:C63"/>
    <mergeCell ref="D62:D63"/>
    <mergeCell ref="E62:E63"/>
    <mergeCell ref="F62:F63"/>
    <mergeCell ref="G62:G63"/>
    <mergeCell ref="H62:H63"/>
    <mergeCell ref="I62:I63"/>
    <mergeCell ref="L62:L63"/>
    <mergeCell ref="M62:M63"/>
    <mergeCell ref="A64:A65"/>
    <mergeCell ref="B64:B65"/>
    <mergeCell ref="C64:C65"/>
    <mergeCell ref="D64:D65"/>
    <mergeCell ref="E64:E65"/>
    <mergeCell ref="F64:F65"/>
    <mergeCell ref="G64:G65"/>
    <mergeCell ref="H64:H65"/>
    <mergeCell ref="I64:I65"/>
    <mergeCell ref="L64:L65"/>
    <mergeCell ref="M64:M65"/>
    <mergeCell ref="A66:A67"/>
    <mergeCell ref="B66:B67"/>
    <mergeCell ref="C66:C67"/>
    <mergeCell ref="D66:D67"/>
    <mergeCell ref="E66:E67"/>
    <mergeCell ref="F66:F67"/>
    <mergeCell ref="G66:G67"/>
    <mergeCell ref="H66:H67"/>
    <mergeCell ref="I66:I67"/>
    <mergeCell ref="L66:L67"/>
    <mergeCell ref="M66:M67"/>
    <mergeCell ref="A68:A69"/>
    <mergeCell ref="B68:B69"/>
    <mergeCell ref="C68:C69"/>
    <mergeCell ref="D68:D69"/>
    <mergeCell ref="E68:E69"/>
    <mergeCell ref="F68:F69"/>
    <mergeCell ref="G68:G69"/>
    <mergeCell ref="H68:H69"/>
    <mergeCell ref="I68:I69"/>
    <mergeCell ref="L68:L69"/>
    <mergeCell ref="M68:M69"/>
    <mergeCell ref="A70:A71"/>
    <mergeCell ref="B70:B71"/>
    <mergeCell ref="C70:C71"/>
    <mergeCell ref="D70:D71"/>
    <mergeCell ref="E70:E71"/>
    <mergeCell ref="F70:F71"/>
    <mergeCell ref="G70:G71"/>
    <mergeCell ref="H70:H71"/>
    <mergeCell ref="I70:I71"/>
    <mergeCell ref="L70:L71"/>
    <mergeCell ref="M70:M71"/>
    <mergeCell ref="A72:A73"/>
    <mergeCell ref="B72:B73"/>
    <mergeCell ref="C72:C73"/>
    <mergeCell ref="D72:D73"/>
    <mergeCell ref="E72:E73"/>
    <mergeCell ref="F72:F73"/>
    <mergeCell ref="G72:G73"/>
    <mergeCell ref="H72:H73"/>
    <mergeCell ref="I72:I73"/>
    <mergeCell ref="L72:L73"/>
    <mergeCell ref="M72:M73"/>
    <mergeCell ref="A74:A75"/>
    <mergeCell ref="B74:B75"/>
    <mergeCell ref="C74:C75"/>
    <mergeCell ref="D74:D75"/>
    <mergeCell ref="E74:E75"/>
    <mergeCell ref="F74:F75"/>
    <mergeCell ref="G74:G75"/>
    <mergeCell ref="H74:H75"/>
    <mergeCell ref="I74:I75"/>
    <mergeCell ref="L74:L75"/>
    <mergeCell ref="M74:M75"/>
    <mergeCell ref="A76:A77"/>
    <mergeCell ref="B76:B77"/>
    <mergeCell ref="C76:C77"/>
    <mergeCell ref="D76:D77"/>
    <mergeCell ref="E76:E77"/>
    <mergeCell ref="F76:F77"/>
    <mergeCell ref="G76:G77"/>
    <mergeCell ref="H76:H77"/>
    <mergeCell ref="I76:I77"/>
    <mergeCell ref="L76:L77"/>
    <mergeCell ref="M76:M77"/>
    <mergeCell ref="A78:A79"/>
    <mergeCell ref="B78:B79"/>
    <mergeCell ref="C78:C79"/>
    <mergeCell ref="D78:D79"/>
    <mergeCell ref="E78:E79"/>
    <mergeCell ref="F78:F79"/>
    <mergeCell ref="G78:G79"/>
    <mergeCell ref="H78:H79"/>
    <mergeCell ref="I78:I79"/>
    <mergeCell ref="L78:L79"/>
    <mergeCell ref="M78:M79"/>
    <mergeCell ref="A80:A81"/>
    <mergeCell ref="B80:B81"/>
    <mergeCell ref="C80:C81"/>
    <mergeCell ref="D80:D81"/>
    <mergeCell ref="E80:E81"/>
    <mergeCell ref="F80:F81"/>
    <mergeCell ref="G80:G81"/>
    <mergeCell ref="H80:H81"/>
    <mergeCell ref="I80:I81"/>
    <mergeCell ref="L80:L81"/>
    <mergeCell ref="M80:M81"/>
    <mergeCell ref="A82:A83"/>
    <mergeCell ref="B82:B83"/>
    <mergeCell ref="C82:C83"/>
    <mergeCell ref="D82:D83"/>
    <mergeCell ref="E82:E83"/>
    <mergeCell ref="F82:F83"/>
    <mergeCell ref="G82:G83"/>
    <mergeCell ref="H82:H83"/>
    <mergeCell ref="I82:I83"/>
    <mergeCell ref="L82:L83"/>
    <mergeCell ref="M82:M83"/>
    <mergeCell ref="A84:A85"/>
    <mergeCell ref="B84:B85"/>
    <mergeCell ref="C84:C85"/>
    <mergeCell ref="D84:D85"/>
    <mergeCell ref="E84:E85"/>
    <mergeCell ref="F84:F85"/>
    <mergeCell ref="G84:G85"/>
    <mergeCell ref="H84:H85"/>
    <mergeCell ref="I84:I85"/>
    <mergeCell ref="L84:L85"/>
    <mergeCell ref="M84:M85"/>
    <mergeCell ref="A86:A87"/>
    <mergeCell ref="B86:B87"/>
    <mergeCell ref="C86:C87"/>
    <mergeCell ref="D86:D87"/>
    <mergeCell ref="E86:E87"/>
    <mergeCell ref="F86:F87"/>
    <mergeCell ref="G86:G87"/>
    <mergeCell ref="H86:H87"/>
    <mergeCell ref="I86:I87"/>
    <mergeCell ref="L86:L87"/>
    <mergeCell ref="M86:M87"/>
    <mergeCell ref="A88:A89"/>
    <mergeCell ref="B88:B89"/>
    <mergeCell ref="C88:C89"/>
    <mergeCell ref="D88:D89"/>
    <mergeCell ref="E88:E89"/>
    <mergeCell ref="F88:F89"/>
    <mergeCell ref="G88:G89"/>
    <mergeCell ref="H88:H89"/>
    <mergeCell ref="I88:I89"/>
    <mergeCell ref="L88:L89"/>
    <mergeCell ref="M88:M89"/>
    <mergeCell ref="A90:A91"/>
    <mergeCell ref="B90:B91"/>
    <mergeCell ref="C90:C91"/>
    <mergeCell ref="D90:D91"/>
    <mergeCell ref="E90:E91"/>
    <mergeCell ref="F90:F91"/>
    <mergeCell ref="G90:G91"/>
    <mergeCell ref="H90:H91"/>
    <mergeCell ref="I90:I91"/>
    <mergeCell ref="M90:M91"/>
    <mergeCell ref="A92:A93"/>
    <mergeCell ref="B92:B93"/>
    <mergeCell ref="C92:C93"/>
    <mergeCell ref="D92:D93"/>
    <mergeCell ref="E92:E93"/>
    <mergeCell ref="F92:F93"/>
    <mergeCell ref="G92:G93"/>
    <mergeCell ref="H92:H93"/>
    <mergeCell ref="I92:I93"/>
    <mergeCell ref="M92:M93"/>
    <mergeCell ref="A94:A95"/>
    <mergeCell ref="B94:B95"/>
    <mergeCell ref="C94:C95"/>
    <mergeCell ref="D94:D95"/>
    <mergeCell ref="E94:E95"/>
    <mergeCell ref="F94:F95"/>
    <mergeCell ref="G94:G95"/>
    <mergeCell ref="H94:H95"/>
    <mergeCell ref="I94:I95"/>
    <mergeCell ref="L94:L95"/>
    <mergeCell ref="M94:M95"/>
    <mergeCell ref="A96:A97"/>
    <mergeCell ref="B96:B97"/>
    <mergeCell ref="C96:C97"/>
    <mergeCell ref="D96:D97"/>
    <mergeCell ref="E96:E97"/>
    <mergeCell ref="F96:F97"/>
    <mergeCell ref="G96:G97"/>
    <mergeCell ref="H96:H97"/>
    <mergeCell ref="I96:I97"/>
    <mergeCell ref="L96:L97"/>
    <mergeCell ref="M96:M97"/>
    <mergeCell ref="A98:A99"/>
    <mergeCell ref="B98:B99"/>
    <mergeCell ref="C98:C99"/>
    <mergeCell ref="D98:D99"/>
    <mergeCell ref="E98:E99"/>
    <mergeCell ref="F98:F99"/>
    <mergeCell ref="G98:G99"/>
    <mergeCell ref="H98:H99"/>
    <mergeCell ref="I98:I99"/>
    <mergeCell ref="M98:M99"/>
    <mergeCell ref="A100:A101"/>
    <mergeCell ref="B100:B101"/>
    <mergeCell ref="C100:C101"/>
    <mergeCell ref="D100:D101"/>
    <mergeCell ref="E100:E101"/>
    <mergeCell ref="F100:F101"/>
    <mergeCell ref="G100:G101"/>
    <mergeCell ref="H100:H101"/>
    <mergeCell ref="I100:I101"/>
    <mergeCell ref="M100:M101"/>
    <mergeCell ref="A102:A103"/>
    <mergeCell ref="B102:B103"/>
    <mergeCell ref="C102:C103"/>
    <mergeCell ref="D102:D103"/>
    <mergeCell ref="E102:E103"/>
    <mergeCell ref="F102:F103"/>
    <mergeCell ref="G102:G103"/>
    <mergeCell ref="H102:H103"/>
    <mergeCell ref="I102:I103"/>
    <mergeCell ref="M102:M103"/>
    <mergeCell ref="A104:A105"/>
    <mergeCell ref="B104:B105"/>
    <mergeCell ref="C104:C105"/>
    <mergeCell ref="D104:D105"/>
    <mergeCell ref="E104:E105"/>
    <mergeCell ref="F104:F105"/>
    <mergeCell ref="G104:G105"/>
    <mergeCell ref="H104:H105"/>
    <mergeCell ref="I104:I105"/>
    <mergeCell ref="M104:M105"/>
    <mergeCell ref="A106:A107"/>
    <mergeCell ref="B106:B107"/>
    <mergeCell ref="C106:C107"/>
    <mergeCell ref="D106:D107"/>
    <mergeCell ref="E106:E107"/>
    <mergeCell ref="F106:F107"/>
    <mergeCell ref="G106:G107"/>
    <mergeCell ref="H106:H107"/>
    <mergeCell ref="I106:I107"/>
    <mergeCell ref="M106:M107"/>
    <mergeCell ref="A108:A110"/>
    <mergeCell ref="B108:B110"/>
    <mergeCell ref="C108:C110"/>
    <mergeCell ref="D108:D110"/>
    <mergeCell ref="E108:E110"/>
    <mergeCell ref="F108:F110"/>
    <mergeCell ref="G108:G110"/>
    <mergeCell ref="H108:H110"/>
    <mergeCell ref="I108:I110"/>
    <mergeCell ref="L108:L110"/>
    <mergeCell ref="M108:M110"/>
    <mergeCell ref="A111:A112"/>
    <mergeCell ref="B111:B112"/>
    <mergeCell ref="C111:C112"/>
    <mergeCell ref="D111:D112"/>
    <mergeCell ref="E111:E112"/>
    <mergeCell ref="F111:F112"/>
    <mergeCell ref="H111:H112"/>
    <mergeCell ref="I111:I112"/>
    <mergeCell ref="L111:L112"/>
    <mergeCell ref="M111:M112"/>
    <mergeCell ref="A113:A114"/>
    <mergeCell ref="B113:B114"/>
    <mergeCell ref="C113:C114"/>
    <mergeCell ref="D113:D114"/>
    <mergeCell ref="E113:E114"/>
    <mergeCell ref="F113:F114"/>
    <mergeCell ref="H113:H114"/>
    <mergeCell ref="I113:I114"/>
    <mergeCell ref="L113:L114"/>
    <mergeCell ref="M113:M114"/>
    <mergeCell ref="A115:A116"/>
    <mergeCell ref="B115:B116"/>
    <mergeCell ref="C115:C116"/>
    <mergeCell ref="D115:D116"/>
    <mergeCell ref="E115:E116"/>
    <mergeCell ref="F115:F116"/>
    <mergeCell ref="H115:H116"/>
    <mergeCell ref="I115:I116"/>
    <mergeCell ref="L115:L116"/>
    <mergeCell ref="M115:M116"/>
    <mergeCell ref="A117:A118"/>
    <mergeCell ref="B117:B118"/>
    <mergeCell ref="C117:C118"/>
    <mergeCell ref="D117:D118"/>
    <mergeCell ref="E117:E118"/>
    <mergeCell ref="F117:F118"/>
    <mergeCell ref="H117:H118"/>
    <mergeCell ref="I117:I118"/>
    <mergeCell ref="L117:L118"/>
    <mergeCell ref="M117:M118"/>
    <mergeCell ref="A119:A120"/>
    <mergeCell ref="B119:B120"/>
    <mergeCell ref="C119:C120"/>
    <mergeCell ref="D119:D120"/>
    <mergeCell ref="E119:E120"/>
    <mergeCell ref="F119:F120"/>
    <mergeCell ref="H119:H120"/>
    <mergeCell ref="I119:I120"/>
    <mergeCell ref="L119:L120"/>
    <mergeCell ref="M119:M120"/>
    <mergeCell ref="A121:A122"/>
    <mergeCell ref="B121:B122"/>
    <mergeCell ref="C121:C122"/>
    <mergeCell ref="D121:D122"/>
    <mergeCell ref="E121:E122"/>
    <mergeCell ref="F121:F122"/>
    <mergeCell ref="H121:H122"/>
    <mergeCell ref="I121:I122"/>
    <mergeCell ref="L121:L122"/>
    <mergeCell ref="M121:M122"/>
  </mergeCells>
  <conditionalFormatting sqref="N8">
    <cfRule type="expression" priority="2" aboveAverage="0" equalAverage="0" bottom="0" percent="0" rank="0" text="" dxfId="0">
      <formula>AND(O$2&gt;=$J8,O$2&lt;=$K8)</formula>
    </cfRule>
  </conditionalFormatting>
  <conditionalFormatting sqref="N8">
    <cfRule type="expression" priority="3" aboveAverage="0" equalAverage="0" bottom="0" percent="0" rank="0" text="" dxfId="0">
      <formula>AND(O$2&gt;=$J8,O$2&lt;=$K8)</formula>
    </cfRule>
  </conditionalFormatting>
  <conditionalFormatting sqref="N8:S8">
    <cfRule type="expression" priority="4" aboveAverage="0" equalAverage="0" bottom="0" percent="0" rank="0" text="" dxfId="0">
      <formula>AND(M$2&gt;=$J8,M$2&lt;=$K8)</formula>
    </cfRule>
  </conditionalFormatting>
  <conditionalFormatting sqref="N8:S8">
    <cfRule type="expression" priority="5" aboveAverage="0" equalAverage="0" bottom="0" percent="0" rank="0" text="" dxfId="0">
      <formula>AND(M$2&gt;=$J8,M$2&lt;=$K8)</formula>
    </cfRule>
  </conditionalFormatting>
  <conditionalFormatting sqref="X61">
    <cfRule type="expression" priority="6" aboveAverage="0" equalAverage="0" bottom="0" percent="0" rank="0" text="" dxfId="0">
      <formula>AND(Y$2&gt;=$J62,Y$2&lt;=$K62)</formula>
    </cfRule>
  </conditionalFormatting>
  <conditionalFormatting sqref="M88">
    <cfRule type="cellIs" priority="7" operator="lessThan" aboveAverage="0" equalAverage="0" bottom="0" percent="0" rank="0" text="" dxfId="1">
      <formula>0</formula>
    </cfRule>
  </conditionalFormatting>
  <conditionalFormatting sqref="M88">
    <cfRule type="cellIs" priority="8" operator="lessThan" aboveAverage="0" equalAverage="0" bottom="0" percent="0" rank="0" text="" dxfId="2">
      <formula>4</formula>
    </cfRule>
  </conditionalFormatting>
  <conditionalFormatting sqref="M88">
    <cfRule type="cellIs" priority="9" operator="lessThan" aboveAverage="0" equalAverage="0" bottom="0" percent="0" rank="0" text="" dxfId="1">
      <formula>0</formula>
    </cfRule>
  </conditionalFormatting>
  <conditionalFormatting sqref="M88">
    <cfRule type="cellIs" priority="10" operator="lessThan" aboveAverage="0" equalAverage="0" bottom="0" percent="0" rank="0" text="" dxfId="2">
      <formula>4</formula>
    </cfRule>
  </conditionalFormatting>
  <conditionalFormatting sqref="M88">
    <cfRule type="cellIs" priority="11" operator="lessThan" aboveAverage="0" equalAverage="0" bottom="0" percent="0" rank="0" text="" dxfId="1">
      <formula>0</formula>
    </cfRule>
  </conditionalFormatting>
  <conditionalFormatting sqref="M88">
    <cfRule type="cellIs" priority="12" operator="lessThan" aboveAverage="0" equalAverage="0" bottom="0" percent="0" rank="0" text="" dxfId="2">
      <formula>4</formula>
    </cfRule>
  </conditionalFormatting>
  <conditionalFormatting sqref="M88">
    <cfRule type="cellIs" priority="13" operator="lessThan" aboveAverage="0" equalAverage="0" bottom="0" percent="0" rank="0" text="" dxfId="1">
      <formula>0</formula>
    </cfRule>
  </conditionalFormatting>
  <conditionalFormatting sqref="M88">
    <cfRule type="cellIs" priority="14" operator="lessThan" aboveAverage="0" equalAverage="0" bottom="0" percent="0" rank="0" text="" dxfId="2">
      <formula>4</formula>
    </cfRule>
  </conditionalFormatting>
  <conditionalFormatting sqref="M88">
    <cfRule type="cellIs" priority="15" operator="lessThan" aboveAverage="0" equalAverage="0" bottom="0" percent="0" rank="0" text="" dxfId="1">
      <formula>0</formula>
    </cfRule>
  </conditionalFormatting>
  <conditionalFormatting sqref="M88">
    <cfRule type="cellIs" priority="16" operator="lessThan" aboveAverage="0" equalAverage="0" bottom="0" percent="0" rank="0" text="" dxfId="2">
      <formula>4</formula>
    </cfRule>
  </conditionalFormatting>
  <conditionalFormatting sqref="M88">
    <cfRule type="cellIs" priority="17" operator="lessThan" aboveAverage="0" equalAverage="0" bottom="0" percent="0" rank="0" text="" dxfId="1">
      <formula>0</formula>
    </cfRule>
  </conditionalFormatting>
  <conditionalFormatting sqref="M88">
    <cfRule type="cellIs" priority="18" operator="lessThan" aboveAverage="0" equalAverage="0" bottom="0" percent="0" rank="0" text="" dxfId="2">
      <formula>4</formula>
    </cfRule>
  </conditionalFormatting>
  <conditionalFormatting sqref="M88">
    <cfRule type="cellIs" priority="19" operator="lessThan" aboveAverage="0" equalAverage="0" bottom="0" percent="0" rank="0" text="" dxfId="1">
      <formula>0</formula>
    </cfRule>
  </conditionalFormatting>
  <conditionalFormatting sqref="M88">
    <cfRule type="cellIs" priority="20" operator="lessThan" aboveAverage="0" equalAverage="0" bottom="0" percent="0" rank="0" text="" dxfId="2">
      <formula>4</formula>
    </cfRule>
  </conditionalFormatting>
  <conditionalFormatting sqref="M88">
    <cfRule type="cellIs" priority="21" operator="lessThan" aboveAverage="0" equalAverage="0" bottom="0" percent="0" rank="0" text="" dxfId="1">
      <formula>0</formula>
    </cfRule>
  </conditionalFormatting>
  <conditionalFormatting sqref="M88">
    <cfRule type="cellIs" priority="22" operator="lessThan" aboveAverage="0" equalAverage="0" bottom="0" percent="0" rank="0" text="" dxfId="2">
      <formula>4</formula>
    </cfRule>
  </conditionalFormatting>
  <conditionalFormatting sqref="M92">
    <cfRule type="cellIs" priority="23" operator="lessThan" aboveAverage="0" equalAverage="0" bottom="0" percent="0" rank="0" text="" dxfId="1">
      <formula>0</formula>
    </cfRule>
  </conditionalFormatting>
  <conditionalFormatting sqref="M92">
    <cfRule type="cellIs" priority="24" operator="lessThan" aboveAverage="0" equalAverage="0" bottom="0" percent="0" rank="0" text="" dxfId="2">
      <formula>4</formula>
    </cfRule>
  </conditionalFormatting>
  <conditionalFormatting sqref="M92">
    <cfRule type="cellIs" priority="25" operator="lessThan" aboveAverage="0" equalAverage="0" bottom="0" percent="0" rank="0" text="" dxfId="1">
      <formula>0</formula>
    </cfRule>
  </conditionalFormatting>
  <conditionalFormatting sqref="M92">
    <cfRule type="cellIs" priority="26" operator="lessThan" aboveAverage="0" equalAverage="0" bottom="0" percent="0" rank="0" text="" dxfId="2">
      <formula>4</formula>
    </cfRule>
  </conditionalFormatting>
  <conditionalFormatting sqref="M92">
    <cfRule type="cellIs" priority="27" operator="lessThan" aboveAverage="0" equalAverage="0" bottom="0" percent="0" rank="0" text="" dxfId="1">
      <formula>0</formula>
    </cfRule>
  </conditionalFormatting>
  <conditionalFormatting sqref="M92">
    <cfRule type="cellIs" priority="28" operator="lessThan" aboveAverage="0" equalAverage="0" bottom="0" percent="0" rank="0" text="" dxfId="2">
      <formula>4</formula>
    </cfRule>
  </conditionalFormatting>
  <conditionalFormatting sqref="M92">
    <cfRule type="cellIs" priority="29" operator="lessThan" aboveAverage="0" equalAverage="0" bottom="0" percent="0" rank="0" text="" dxfId="1">
      <formula>0</formula>
    </cfRule>
  </conditionalFormatting>
  <conditionalFormatting sqref="M92">
    <cfRule type="cellIs" priority="30" operator="lessThan" aboveAverage="0" equalAverage="0" bottom="0" percent="0" rank="0" text="" dxfId="2">
      <formula>4</formula>
    </cfRule>
  </conditionalFormatting>
  <conditionalFormatting sqref="M92">
    <cfRule type="cellIs" priority="31" operator="lessThan" aboveAverage="0" equalAverage="0" bottom="0" percent="0" rank="0" text="" dxfId="1">
      <formula>0</formula>
    </cfRule>
  </conditionalFormatting>
  <conditionalFormatting sqref="M92">
    <cfRule type="cellIs" priority="32" operator="lessThan" aboveAverage="0" equalAverage="0" bottom="0" percent="0" rank="0" text="" dxfId="2">
      <formula>4</formula>
    </cfRule>
  </conditionalFormatting>
  <conditionalFormatting sqref="M92">
    <cfRule type="cellIs" priority="33" operator="lessThan" aboveAverage="0" equalAverage="0" bottom="0" percent="0" rank="0" text="" dxfId="1">
      <formula>0</formula>
    </cfRule>
  </conditionalFormatting>
  <conditionalFormatting sqref="M92">
    <cfRule type="cellIs" priority="34" operator="lessThan" aboveAverage="0" equalAverage="0" bottom="0" percent="0" rank="0" text="" dxfId="2">
      <formula>4</formula>
    </cfRule>
  </conditionalFormatting>
  <conditionalFormatting sqref="M92">
    <cfRule type="cellIs" priority="35" operator="lessThan" aboveAverage="0" equalAverage="0" bottom="0" percent="0" rank="0" text="" dxfId="1">
      <formula>0</formula>
    </cfRule>
  </conditionalFormatting>
  <conditionalFormatting sqref="M92">
    <cfRule type="cellIs" priority="36" operator="lessThan" aboveAverage="0" equalAverage="0" bottom="0" percent="0" rank="0" text="" dxfId="2">
      <formula>4</formula>
    </cfRule>
  </conditionalFormatting>
  <conditionalFormatting sqref="M92">
    <cfRule type="cellIs" priority="37" operator="lessThan" aboveAverage="0" equalAverage="0" bottom="0" percent="0" rank="0" text="" dxfId="1">
      <formula>0</formula>
    </cfRule>
  </conditionalFormatting>
  <conditionalFormatting sqref="M92">
    <cfRule type="cellIs" priority="38" operator="lessThan" aboveAverage="0" equalAverage="0" bottom="0" percent="0" rank="0" text="" dxfId="2">
      <formula>4</formula>
    </cfRule>
  </conditionalFormatting>
  <conditionalFormatting sqref="M94">
    <cfRule type="cellIs" priority="39" operator="lessThan" aboveAverage="0" equalAverage="0" bottom="0" percent="0" rank="0" text="" dxfId="1">
      <formula>0</formula>
    </cfRule>
  </conditionalFormatting>
  <conditionalFormatting sqref="M94">
    <cfRule type="cellIs" priority="40" operator="lessThan" aboveAverage="0" equalAverage="0" bottom="0" percent="0" rank="0" text="" dxfId="2">
      <formula>4</formula>
    </cfRule>
  </conditionalFormatting>
  <conditionalFormatting sqref="M94">
    <cfRule type="cellIs" priority="41" operator="lessThan" aboveAverage="0" equalAverage="0" bottom="0" percent="0" rank="0" text="" dxfId="1">
      <formula>0</formula>
    </cfRule>
  </conditionalFormatting>
  <conditionalFormatting sqref="M94">
    <cfRule type="cellIs" priority="42" operator="lessThan" aboveAverage="0" equalAverage="0" bottom="0" percent="0" rank="0" text="" dxfId="2">
      <formula>4</formula>
    </cfRule>
  </conditionalFormatting>
  <conditionalFormatting sqref="M94">
    <cfRule type="cellIs" priority="43" operator="lessThan" aboveAverage="0" equalAverage="0" bottom="0" percent="0" rank="0" text="" dxfId="1">
      <formula>0</formula>
    </cfRule>
  </conditionalFormatting>
  <conditionalFormatting sqref="M94">
    <cfRule type="cellIs" priority="44" operator="lessThan" aboveAverage="0" equalAverage="0" bottom="0" percent="0" rank="0" text="" dxfId="2">
      <formula>4</formula>
    </cfRule>
  </conditionalFormatting>
  <conditionalFormatting sqref="M94">
    <cfRule type="cellIs" priority="45" operator="lessThan" aboveAverage="0" equalAverage="0" bottom="0" percent="0" rank="0" text="" dxfId="1">
      <formula>0</formula>
    </cfRule>
  </conditionalFormatting>
  <conditionalFormatting sqref="M94">
    <cfRule type="cellIs" priority="46" operator="lessThan" aboveAverage="0" equalAverage="0" bottom="0" percent="0" rank="0" text="" dxfId="2">
      <formula>4</formula>
    </cfRule>
  </conditionalFormatting>
  <conditionalFormatting sqref="M94">
    <cfRule type="cellIs" priority="47" operator="lessThan" aboveAverage="0" equalAverage="0" bottom="0" percent="0" rank="0" text="" dxfId="1">
      <formula>0</formula>
    </cfRule>
  </conditionalFormatting>
  <conditionalFormatting sqref="M94">
    <cfRule type="cellIs" priority="48" operator="lessThan" aboveAverage="0" equalAverage="0" bottom="0" percent="0" rank="0" text="" dxfId="2">
      <formula>4</formula>
    </cfRule>
  </conditionalFormatting>
  <conditionalFormatting sqref="M94">
    <cfRule type="cellIs" priority="49" operator="lessThan" aboveAverage="0" equalAverage="0" bottom="0" percent="0" rank="0" text="" dxfId="1">
      <formula>0</formula>
    </cfRule>
  </conditionalFormatting>
  <conditionalFormatting sqref="M94">
    <cfRule type="cellIs" priority="50" operator="lessThan" aboveAverage="0" equalAverage="0" bottom="0" percent="0" rank="0" text="" dxfId="2">
      <formula>4</formula>
    </cfRule>
  </conditionalFormatting>
  <conditionalFormatting sqref="M94">
    <cfRule type="cellIs" priority="51" operator="lessThan" aboveAverage="0" equalAverage="0" bottom="0" percent="0" rank="0" text="" dxfId="1">
      <formula>0</formula>
    </cfRule>
  </conditionalFormatting>
  <conditionalFormatting sqref="M94">
    <cfRule type="cellIs" priority="52" operator="lessThan" aboveAverage="0" equalAverage="0" bottom="0" percent="0" rank="0" text="" dxfId="2">
      <formula>4</formula>
    </cfRule>
  </conditionalFormatting>
  <conditionalFormatting sqref="M94">
    <cfRule type="cellIs" priority="53" operator="lessThan" aboveAverage="0" equalAverage="0" bottom="0" percent="0" rank="0" text="" dxfId="1">
      <formula>0</formula>
    </cfRule>
  </conditionalFormatting>
  <conditionalFormatting sqref="M94">
    <cfRule type="cellIs" priority="54" operator="lessThan" aboveAverage="0" equalAverage="0" bottom="0" percent="0" rank="0" text="" dxfId="2">
      <formula>4</formula>
    </cfRule>
  </conditionalFormatting>
  <conditionalFormatting sqref="M96">
    <cfRule type="cellIs" priority="55" operator="lessThan" aboveAverage="0" equalAverage="0" bottom="0" percent="0" rank="0" text="" dxfId="1">
      <formula>0</formula>
    </cfRule>
  </conditionalFormatting>
  <conditionalFormatting sqref="M96">
    <cfRule type="cellIs" priority="56" operator="lessThan" aboveAverage="0" equalAverage="0" bottom="0" percent="0" rank="0" text="" dxfId="2">
      <formula>4</formula>
    </cfRule>
  </conditionalFormatting>
  <conditionalFormatting sqref="M96">
    <cfRule type="cellIs" priority="57" operator="lessThan" aboveAverage="0" equalAverage="0" bottom="0" percent="0" rank="0" text="" dxfId="1">
      <formula>0</formula>
    </cfRule>
  </conditionalFormatting>
  <conditionalFormatting sqref="M96">
    <cfRule type="cellIs" priority="58" operator="lessThan" aboveAverage="0" equalAverage="0" bottom="0" percent="0" rank="0" text="" dxfId="2">
      <formula>4</formula>
    </cfRule>
  </conditionalFormatting>
  <conditionalFormatting sqref="M96">
    <cfRule type="cellIs" priority="59" operator="lessThan" aboveAverage="0" equalAverage="0" bottom="0" percent="0" rank="0" text="" dxfId="1">
      <formula>0</formula>
    </cfRule>
  </conditionalFormatting>
  <conditionalFormatting sqref="M96">
    <cfRule type="cellIs" priority="60" operator="lessThan" aboveAverage="0" equalAverage="0" bottom="0" percent="0" rank="0" text="" dxfId="2">
      <formula>4</formula>
    </cfRule>
  </conditionalFormatting>
  <conditionalFormatting sqref="M96">
    <cfRule type="cellIs" priority="61" operator="lessThan" aboveAverage="0" equalAverage="0" bottom="0" percent="0" rank="0" text="" dxfId="1">
      <formula>0</formula>
    </cfRule>
  </conditionalFormatting>
  <conditionalFormatting sqref="M96">
    <cfRule type="cellIs" priority="62" operator="lessThan" aboveAverage="0" equalAverage="0" bottom="0" percent="0" rank="0" text="" dxfId="2">
      <formula>4</formula>
    </cfRule>
  </conditionalFormatting>
  <conditionalFormatting sqref="M96">
    <cfRule type="cellIs" priority="63" operator="lessThan" aboveAverage="0" equalAverage="0" bottom="0" percent="0" rank="0" text="" dxfId="1">
      <formula>0</formula>
    </cfRule>
  </conditionalFormatting>
  <conditionalFormatting sqref="M96">
    <cfRule type="cellIs" priority="64" operator="lessThan" aboveAverage="0" equalAverage="0" bottom="0" percent="0" rank="0" text="" dxfId="2">
      <formula>4</formula>
    </cfRule>
  </conditionalFormatting>
  <conditionalFormatting sqref="M96">
    <cfRule type="cellIs" priority="65" operator="lessThan" aboveAverage="0" equalAverage="0" bottom="0" percent="0" rank="0" text="" dxfId="1">
      <formula>0</formula>
    </cfRule>
  </conditionalFormatting>
  <conditionalFormatting sqref="M96">
    <cfRule type="cellIs" priority="66" operator="lessThan" aboveAverage="0" equalAverage="0" bottom="0" percent="0" rank="0" text="" dxfId="2">
      <formula>4</formula>
    </cfRule>
  </conditionalFormatting>
  <conditionalFormatting sqref="M96">
    <cfRule type="cellIs" priority="67" operator="lessThan" aboveAverage="0" equalAverage="0" bottom="0" percent="0" rank="0" text="" dxfId="1">
      <formula>0</formula>
    </cfRule>
  </conditionalFormatting>
  <conditionalFormatting sqref="M96">
    <cfRule type="cellIs" priority="68" operator="lessThan" aboveAverage="0" equalAverage="0" bottom="0" percent="0" rank="0" text="" dxfId="2">
      <formula>4</formula>
    </cfRule>
  </conditionalFormatting>
  <conditionalFormatting sqref="M96">
    <cfRule type="cellIs" priority="69" operator="lessThan" aboveAverage="0" equalAverage="0" bottom="0" percent="0" rank="0" text="" dxfId="1">
      <formula>0</formula>
    </cfRule>
  </conditionalFormatting>
  <conditionalFormatting sqref="M96">
    <cfRule type="cellIs" priority="70" operator="lessThan" aboveAverage="0" equalAverage="0" bottom="0" percent="0" rank="0" text="" dxfId="2">
      <formula>4</formula>
    </cfRule>
  </conditionalFormatting>
  <conditionalFormatting sqref="M98">
    <cfRule type="cellIs" priority="71" operator="lessThan" aboveAverage="0" equalAverage="0" bottom="0" percent="0" rank="0" text="" dxfId="1">
      <formula>0</formula>
    </cfRule>
  </conditionalFormatting>
  <conditionalFormatting sqref="M98">
    <cfRule type="cellIs" priority="72" operator="lessThan" aboveAverage="0" equalAverage="0" bottom="0" percent="0" rank="0" text="" dxfId="2">
      <formula>4</formula>
    </cfRule>
  </conditionalFormatting>
  <conditionalFormatting sqref="M98">
    <cfRule type="cellIs" priority="73" operator="lessThan" aboveAverage="0" equalAverage="0" bottom="0" percent="0" rank="0" text="" dxfId="1">
      <formula>0</formula>
    </cfRule>
  </conditionalFormatting>
  <conditionalFormatting sqref="M98">
    <cfRule type="cellIs" priority="74" operator="lessThan" aboveAverage="0" equalAverage="0" bottom="0" percent="0" rank="0" text="" dxfId="2">
      <formula>4</formula>
    </cfRule>
  </conditionalFormatting>
  <conditionalFormatting sqref="M98">
    <cfRule type="cellIs" priority="75" operator="lessThan" aboveAverage="0" equalAverage="0" bottom="0" percent="0" rank="0" text="" dxfId="1">
      <formula>0</formula>
    </cfRule>
  </conditionalFormatting>
  <conditionalFormatting sqref="M98">
    <cfRule type="cellIs" priority="76" operator="lessThan" aboveAverage="0" equalAverage="0" bottom="0" percent="0" rank="0" text="" dxfId="2">
      <formula>4</formula>
    </cfRule>
  </conditionalFormatting>
  <conditionalFormatting sqref="M98">
    <cfRule type="cellIs" priority="77" operator="lessThan" aboveAverage="0" equalAverage="0" bottom="0" percent="0" rank="0" text="" dxfId="1">
      <formula>0</formula>
    </cfRule>
  </conditionalFormatting>
  <conditionalFormatting sqref="M98">
    <cfRule type="cellIs" priority="78" operator="lessThan" aboveAverage="0" equalAverage="0" bottom="0" percent="0" rank="0" text="" dxfId="2">
      <formula>4</formula>
    </cfRule>
  </conditionalFormatting>
  <conditionalFormatting sqref="M98">
    <cfRule type="cellIs" priority="79" operator="lessThan" aboveAverage="0" equalAverage="0" bottom="0" percent="0" rank="0" text="" dxfId="1">
      <formula>0</formula>
    </cfRule>
  </conditionalFormatting>
  <conditionalFormatting sqref="M98">
    <cfRule type="cellIs" priority="80" operator="lessThan" aboveAverage="0" equalAverage="0" bottom="0" percent="0" rank="0" text="" dxfId="2">
      <formula>4</formula>
    </cfRule>
  </conditionalFormatting>
  <conditionalFormatting sqref="M98">
    <cfRule type="cellIs" priority="81" operator="lessThan" aboveAverage="0" equalAverage="0" bottom="0" percent="0" rank="0" text="" dxfId="1">
      <formula>0</formula>
    </cfRule>
  </conditionalFormatting>
  <conditionalFormatting sqref="M98">
    <cfRule type="cellIs" priority="82" operator="lessThan" aboveAverage="0" equalAverage="0" bottom="0" percent="0" rank="0" text="" dxfId="2">
      <formula>4</formula>
    </cfRule>
  </conditionalFormatting>
  <conditionalFormatting sqref="M98">
    <cfRule type="cellIs" priority="83" operator="lessThan" aboveAverage="0" equalAverage="0" bottom="0" percent="0" rank="0" text="" dxfId="1">
      <formula>0</formula>
    </cfRule>
  </conditionalFormatting>
  <conditionalFormatting sqref="M98">
    <cfRule type="cellIs" priority="84" operator="lessThan" aboveAverage="0" equalAverage="0" bottom="0" percent="0" rank="0" text="" dxfId="2">
      <formula>4</formula>
    </cfRule>
  </conditionalFormatting>
  <conditionalFormatting sqref="M98">
    <cfRule type="cellIs" priority="85" operator="lessThan" aboveAverage="0" equalAverage="0" bottom="0" percent="0" rank="0" text="" dxfId="1">
      <formula>0</formula>
    </cfRule>
  </conditionalFormatting>
  <conditionalFormatting sqref="M98">
    <cfRule type="cellIs" priority="86" operator="lessThan" aboveAverage="0" equalAverage="0" bottom="0" percent="0" rank="0" text="" dxfId="2">
      <formula>4</formula>
    </cfRule>
  </conditionalFormatting>
  <conditionalFormatting sqref="M100">
    <cfRule type="cellIs" priority="87" operator="lessThan" aboveAverage="0" equalAverage="0" bottom="0" percent="0" rank="0" text="" dxfId="1">
      <formula>0</formula>
    </cfRule>
  </conditionalFormatting>
  <conditionalFormatting sqref="M100">
    <cfRule type="cellIs" priority="88" operator="lessThan" aboveAverage="0" equalAverage="0" bottom="0" percent="0" rank="0" text="" dxfId="2">
      <formula>4</formula>
    </cfRule>
  </conditionalFormatting>
  <conditionalFormatting sqref="M100">
    <cfRule type="cellIs" priority="89" operator="lessThan" aboveAverage="0" equalAverage="0" bottom="0" percent="0" rank="0" text="" dxfId="1">
      <formula>0</formula>
    </cfRule>
  </conditionalFormatting>
  <conditionalFormatting sqref="M100">
    <cfRule type="cellIs" priority="90" operator="lessThan" aboveAverage="0" equalAverage="0" bottom="0" percent="0" rank="0" text="" dxfId="2">
      <formula>4</formula>
    </cfRule>
  </conditionalFormatting>
  <conditionalFormatting sqref="M100">
    <cfRule type="cellIs" priority="91" operator="lessThan" aboveAverage="0" equalAverage="0" bottom="0" percent="0" rank="0" text="" dxfId="1">
      <formula>0</formula>
    </cfRule>
  </conditionalFormatting>
  <conditionalFormatting sqref="M100">
    <cfRule type="cellIs" priority="92" operator="lessThan" aboveAverage="0" equalAverage="0" bottom="0" percent="0" rank="0" text="" dxfId="2">
      <formula>4</formula>
    </cfRule>
  </conditionalFormatting>
  <conditionalFormatting sqref="M100">
    <cfRule type="cellIs" priority="93" operator="lessThan" aboveAverage="0" equalAverage="0" bottom="0" percent="0" rank="0" text="" dxfId="1">
      <formula>0</formula>
    </cfRule>
  </conditionalFormatting>
  <conditionalFormatting sqref="M100">
    <cfRule type="cellIs" priority="94" operator="lessThan" aboveAverage="0" equalAverage="0" bottom="0" percent="0" rank="0" text="" dxfId="2">
      <formula>4</formula>
    </cfRule>
  </conditionalFormatting>
  <conditionalFormatting sqref="M100">
    <cfRule type="cellIs" priority="95" operator="lessThan" aboveAverage="0" equalAverage="0" bottom="0" percent="0" rank="0" text="" dxfId="1">
      <formula>0</formula>
    </cfRule>
  </conditionalFormatting>
  <conditionalFormatting sqref="M100">
    <cfRule type="cellIs" priority="96" operator="lessThan" aboveAverage="0" equalAverage="0" bottom="0" percent="0" rank="0" text="" dxfId="2">
      <formula>4</formula>
    </cfRule>
  </conditionalFormatting>
  <conditionalFormatting sqref="M100">
    <cfRule type="cellIs" priority="97" operator="lessThan" aboveAverage="0" equalAverage="0" bottom="0" percent="0" rank="0" text="" dxfId="1">
      <formula>0</formula>
    </cfRule>
  </conditionalFormatting>
  <conditionalFormatting sqref="M100">
    <cfRule type="cellIs" priority="98" operator="lessThan" aboveAverage="0" equalAverage="0" bottom="0" percent="0" rank="0" text="" dxfId="2">
      <formula>4</formula>
    </cfRule>
  </conditionalFormatting>
  <conditionalFormatting sqref="M100">
    <cfRule type="cellIs" priority="99" operator="lessThan" aboveAverage="0" equalAverage="0" bottom="0" percent="0" rank="0" text="" dxfId="1">
      <formula>0</formula>
    </cfRule>
  </conditionalFormatting>
  <conditionalFormatting sqref="M100">
    <cfRule type="cellIs" priority="100" operator="lessThan" aboveAverage="0" equalAverage="0" bottom="0" percent="0" rank="0" text="" dxfId="2">
      <formula>4</formula>
    </cfRule>
  </conditionalFormatting>
  <conditionalFormatting sqref="M100">
    <cfRule type="cellIs" priority="101" operator="lessThan" aboveAverage="0" equalAverage="0" bottom="0" percent="0" rank="0" text="" dxfId="1">
      <formula>0</formula>
    </cfRule>
  </conditionalFormatting>
  <conditionalFormatting sqref="M100">
    <cfRule type="cellIs" priority="102" operator="lessThan" aboveAverage="0" equalAverage="0" bottom="0" percent="0" rank="0" text="" dxfId="2">
      <formula>4</formula>
    </cfRule>
  </conditionalFormatting>
  <conditionalFormatting sqref="M102">
    <cfRule type="cellIs" priority="103" operator="lessThan" aboveAverage="0" equalAverage="0" bottom="0" percent="0" rank="0" text="" dxfId="1">
      <formula>0</formula>
    </cfRule>
  </conditionalFormatting>
  <conditionalFormatting sqref="M102">
    <cfRule type="cellIs" priority="104" operator="lessThan" aboveAverage="0" equalAverage="0" bottom="0" percent="0" rank="0" text="" dxfId="2">
      <formula>4</formula>
    </cfRule>
  </conditionalFormatting>
  <conditionalFormatting sqref="M102">
    <cfRule type="cellIs" priority="105" operator="lessThan" aboveAverage="0" equalAverage="0" bottom="0" percent="0" rank="0" text="" dxfId="1">
      <formula>0</formula>
    </cfRule>
  </conditionalFormatting>
  <conditionalFormatting sqref="M102">
    <cfRule type="cellIs" priority="106" operator="lessThan" aboveAverage="0" equalAverage="0" bottom="0" percent="0" rank="0" text="" dxfId="2">
      <formula>4</formula>
    </cfRule>
  </conditionalFormatting>
  <conditionalFormatting sqref="M102">
    <cfRule type="cellIs" priority="107" operator="lessThan" aboveAverage="0" equalAverage="0" bottom="0" percent="0" rank="0" text="" dxfId="1">
      <formula>0</formula>
    </cfRule>
  </conditionalFormatting>
  <conditionalFormatting sqref="M102">
    <cfRule type="cellIs" priority="108" operator="lessThan" aboveAverage="0" equalAverage="0" bottom="0" percent="0" rank="0" text="" dxfId="2">
      <formula>4</formula>
    </cfRule>
  </conditionalFormatting>
  <conditionalFormatting sqref="M102">
    <cfRule type="cellIs" priority="109" operator="lessThan" aboveAverage="0" equalAverage="0" bottom="0" percent="0" rank="0" text="" dxfId="1">
      <formula>0</formula>
    </cfRule>
  </conditionalFormatting>
  <conditionalFormatting sqref="M102">
    <cfRule type="cellIs" priority="110" operator="lessThan" aboveAverage="0" equalAverage="0" bottom="0" percent="0" rank="0" text="" dxfId="2">
      <formula>4</formula>
    </cfRule>
  </conditionalFormatting>
  <conditionalFormatting sqref="M102">
    <cfRule type="cellIs" priority="111" operator="lessThan" aboveAverage="0" equalAverage="0" bottom="0" percent="0" rank="0" text="" dxfId="1">
      <formula>0</formula>
    </cfRule>
  </conditionalFormatting>
  <conditionalFormatting sqref="M102">
    <cfRule type="cellIs" priority="112" operator="lessThan" aboveAverage="0" equalAverage="0" bottom="0" percent="0" rank="0" text="" dxfId="2">
      <formula>4</formula>
    </cfRule>
  </conditionalFormatting>
  <conditionalFormatting sqref="M102">
    <cfRule type="cellIs" priority="113" operator="lessThan" aboveAverage="0" equalAverage="0" bottom="0" percent="0" rank="0" text="" dxfId="1">
      <formula>0</formula>
    </cfRule>
  </conditionalFormatting>
  <conditionalFormatting sqref="M102">
    <cfRule type="cellIs" priority="114" operator="lessThan" aboveAverage="0" equalAverage="0" bottom="0" percent="0" rank="0" text="" dxfId="2">
      <formula>4</formula>
    </cfRule>
  </conditionalFormatting>
  <conditionalFormatting sqref="M102">
    <cfRule type="cellIs" priority="115" operator="lessThan" aboveAverage="0" equalAverage="0" bottom="0" percent="0" rank="0" text="" dxfId="1">
      <formula>0</formula>
    </cfRule>
  </conditionalFormatting>
  <conditionalFormatting sqref="M102">
    <cfRule type="cellIs" priority="116" operator="lessThan" aboveAverage="0" equalAverage="0" bottom="0" percent="0" rank="0" text="" dxfId="2">
      <formula>4</formula>
    </cfRule>
  </conditionalFormatting>
  <conditionalFormatting sqref="M102">
    <cfRule type="cellIs" priority="117" operator="lessThan" aboveAverage="0" equalAverage="0" bottom="0" percent="0" rank="0" text="" dxfId="1">
      <formula>0</formula>
    </cfRule>
  </conditionalFormatting>
  <conditionalFormatting sqref="M102">
    <cfRule type="cellIs" priority="118" operator="lessThan" aboveAverage="0" equalAverage="0" bottom="0" percent="0" rank="0" text="" dxfId="2">
      <formula>4</formula>
    </cfRule>
  </conditionalFormatting>
  <conditionalFormatting sqref="M104">
    <cfRule type="cellIs" priority="119" operator="lessThan" aboveAverage="0" equalAverage="0" bottom="0" percent="0" rank="0" text="" dxfId="1">
      <formula>0</formula>
    </cfRule>
  </conditionalFormatting>
  <conditionalFormatting sqref="M104">
    <cfRule type="cellIs" priority="120" operator="lessThan" aboveAverage="0" equalAverage="0" bottom="0" percent="0" rank="0" text="" dxfId="2">
      <formula>4</formula>
    </cfRule>
  </conditionalFormatting>
  <conditionalFormatting sqref="M104">
    <cfRule type="cellIs" priority="121" operator="lessThan" aboveAverage="0" equalAverage="0" bottom="0" percent="0" rank="0" text="" dxfId="1">
      <formula>0</formula>
    </cfRule>
  </conditionalFormatting>
  <conditionalFormatting sqref="M104">
    <cfRule type="cellIs" priority="122" operator="lessThan" aboveAverage="0" equalAverage="0" bottom="0" percent="0" rank="0" text="" dxfId="2">
      <formula>4</formula>
    </cfRule>
  </conditionalFormatting>
  <conditionalFormatting sqref="M104">
    <cfRule type="cellIs" priority="123" operator="lessThan" aboveAverage="0" equalAverage="0" bottom="0" percent="0" rank="0" text="" dxfId="1">
      <formula>0</formula>
    </cfRule>
  </conditionalFormatting>
  <conditionalFormatting sqref="M104">
    <cfRule type="cellIs" priority="124" operator="lessThan" aboveAverage="0" equalAverage="0" bottom="0" percent="0" rank="0" text="" dxfId="2">
      <formula>4</formula>
    </cfRule>
  </conditionalFormatting>
  <conditionalFormatting sqref="M104">
    <cfRule type="cellIs" priority="125" operator="lessThan" aboveAverage="0" equalAverage="0" bottom="0" percent="0" rank="0" text="" dxfId="1">
      <formula>0</formula>
    </cfRule>
  </conditionalFormatting>
  <conditionalFormatting sqref="M104">
    <cfRule type="cellIs" priority="126" operator="lessThan" aboveAverage="0" equalAverage="0" bottom="0" percent="0" rank="0" text="" dxfId="2">
      <formula>4</formula>
    </cfRule>
  </conditionalFormatting>
  <conditionalFormatting sqref="M104">
    <cfRule type="cellIs" priority="127" operator="lessThan" aboveAverage="0" equalAverage="0" bottom="0" percent="0" rank="0" text="" dxfId="1">
      <formula>0</formula>
    </cfRule>
  </conditionalFormatting>
  <conditionalFormatting sqref="M104">
    <cfRule type="cellIs" priority="128" operator="lessThan" aboveAverage="0" equalAverage="0" bottom="0" percent="0" rank="0" text="" dxfId="2">
      <formula>4</formula>
    </cfRule>
  </conditionalFormatting>
  <conditionalFormatting sqref="M104">
    <cfRule type="cellIs" priority="129" operator="lessThan" aboveAverage="0" equalAverage="0" bottom="0" percent="0" rank="0" text="" dxfId="1">
      <formula>0</formula>
    </cfRule>
  </conditionalFormatting>
  <conditionalFormatting sqref="M104">
    <cfRule type="cellIs" priority="130" operator="lessThan" aboveAverage="0" equalAverage="0" bottom="0" percent="0" rank="0" text="" dxfId="2">
      <formula>4</formula>
    </cfRule>
  </conditionalFormatting>
  <conditionalFormatting sqref="M104">
    <cfRule type="cellIs" priority="131" operator="lessThan" aboveAverage="0" equalAverage="0" bottom="0" percent="0" rank="0" text="" dxfId="1">
      <formula>0</formula>
    </cfRule>
  </conditionalFormatting>
  <conditionalFormatting sqref="M104">
    <cfRule type="cellIs" priority="132" operator="lessThan" aboveAverage="0" equalAverage="0" bottom="0" percent="0" rank="0" text="" dxfId="2">
      <formula>4</formula>
    </cfRule>
  </conditionalFormatting>
  <conditionalFormatting sqref="M104">
    <cfRule type="cellIs" priority="133" operator="lessThan" aboveAverage="0" equalAverage="0" bottom="0" percent="0" rank="0" text="" dxfId="1">
      <formula>0</formula>
    </cfRule>
  </conditionalFormatting>
  <conditionalFormatting sqref="M104">
    <cfRule type="cellIs" priority="134" operator="lessThan" aboveAverage="0" equalAverage="0" bottom="0" percent="0" rank="0" text="" dxfId="2">
      <formula>4</formula>
    </cfRule>
  </conditionalFormatting>
  <conditionalFormatting sqref="M106">
    <cfRule type="cellIs" priority="135" operator="lessThan" aboveAverage="0" equalAverage="0" bottom="0" percent="0" rank="0" text="" dxfId="1">
      <formula>0</formula>
    </cfRule>
  </conditionalFormatting>
  <conditionalFormatting sqref="M106">
    <cfRule type="cellIs" priority="136" operator="lessThan" aboveAverage="0" equalAverage="0" bottom="0" percent="0" rank="0" text="" dxfId="2">
      <formula>4</formula>
    </cfRule>
  </conditionalFormatting>
  <conditionalFormatting sqref="M106">
    <cfRule type="cellIs" priority="137" operator="lessThan" aboveAverage="0" equalAverage="0" bottom="0" percent="0" rank="0" text="" dxfId="1">
      <formula>0</formula>
    </cfRule>
  </conditionalFormatting>
  <conditionalFormatting sqref="M106">
    <cfRule type="cellIs" priority="138" operator="lessThan" aboveAverage="0" equalAverage="0" bottom="0" percent="0" rank="0" text="" dxfId="2">
      <formula>4</formula>
    </cfRule>
  </conditionalFormatting>
  <conditionalFormatting sqref="M106">
    <cfRule type="cellIs" priority="139" operator="lessThan" aboveAverage="0" equalAverage="0" bottom="0" percent="0" rank="0" text="" dxfId="1">
      <formula>0</formula>
    </cfRule>
  </conditionalFormatting>
  <conditionalFormatting sqref="M106">
    <cfRule type="cellIs" priority="140" operator="lessThan" aboveAverage="0" equalAverage="0" bottom="0" percent="0" rank="0" text="" dxfId="2">
      <formula>4</formula>
    </cfRule>
  </conditionalFormatting>
  <conditionalFormatting sqref="M106">
    <cfRule type="cellIs" priority="141" operator="lessThan" aboveAverage="0" equalAverage="0" bottom="0" percent="0" rank="0" text="" dxfId="1">
      <formula>0</formula>
    </cfRule>
  </conditionalFormatting>
  <conditionalFormatting sqref="M106">
    <cfRule type="cellIs" priority="142" operator="lessThan" aboveAverage="0" equalAverage="0" bottom="0" percent="0" rank="0" text="" dxfId="2">
      <formula>4</formula>
    </cfRule>
  </conditionalFormatting>
  <conditionalFormatting sqref="M106">
    <cfRule type="cellIs" priority="143" operator="lessThan" aboveAverage="0" equalAverage="0" bottom="0" percent="0" rank="0" text="" dxfId="1">
      <formula>0</formula>
    </cfRule>
  </conditionalFormatting>
  <conditionalFormatting sqref="M106">
    <cfRule type="cellIs" priority="144" operator="lessThan" aboveAverage="0" equalAverage="0" bottom="0" percent="0" rank="0" text="" dxfId="2">
      <formula>4</formula>
    </cfRule>
  </conditionalFormatting>
  <conditionalFormatting sqref="M106">
    <cfRule type="cellIs" priority="145" operator="lessThan" aboveAverage="0" equalAverage="0" bottom="0" percent="0" rank="0" text="" dxfId="1">
      <formula>0</formula>
    </cfRule>
  </conditionalFormatting>
  <conditionalFormatting sqref="M106">
    <cfRule type="cellIs" priority="146" operator="lessThan" aboveAverage="0" equalAverage="0" bottom="0" percent="0" rank="0" text="" dxfId="2">
      <formula>4</formula>
    </cfRule>
  </conditionalFormatting>
  <conditionalFormatting sqref="M106">
    <cfRule type="cellIs" priority="147" operator="lessThan" aboveAverage="0" equalAverage="0" bottom="0" percent="0" rank="0" text="" dxfId="1">
      <formula>0</formula>
    </cfRule>
  </conditionalFormatting>
  <conditionalFormatting sqref="M106">
    <cfRule type="cellIs" priority="148" operator="lessThan" aboveAverage="0" equalAverage="0" bottom="0" percent="0" rank="0" text="" dxfId="2">
      <formula>4</formula>
    </cfRule>
  </conditionalFormatting>
  <conditionalFormatting sqref="M106">
    <cfRule type="cellIs" priority="149" operator="lessThan" aboveAverage="0" equalAverage="0" bottom="0" percent="0" rank="0" text="" dxfId="1">
      <formula>0</formula>
    </cfRule>
  </conditionalFormatting>
  <conditionalFormatting sqref="M106">
    <cfRule type="cellIs" priority="150" operator="lessThan" aboveAverage="0" equalAverage="0" bottom="0" percent="0" rank="0" text="" dxfId="2">
      <formula>4</formula>
    </cfRule>
  </conditionalFormatting>
  <conditionalFormatting sqref="M8:M9">
    <cfRule type="cellIs" priority="151" operator="lessThan" aboveAverage="0" equalAverage="0" bottom="0" percent="0" rank="0" text="" dxfId="1">
      <formula>0</formula>
    </cfRule>
  </conditionalFormatting>
  <conditionalFormatting sqref="M8:M9">
    <cfRule type="cellIs" priority="152" operator="lessThan" aboveAverage="0" equalAverage="0" bottom="0" percent="0" rank="0" text="" dxfId="2">
      <formula>4</formula>
    </cfRule>
  </conditionalFormatting>
  <conditionalFormatting sqref="M8:M9">
    <cfRule type="cellIs" priority="153" operator="lessThan" aboveAverage="0" equalAverage="0" bottom="0" percent="0" rank="0" text="" dxfId="1">
      <formula>0</formula>
    </cfRule>
  </conditionalFormatting>
  <conditionalFormatting sqref="M8:M9">
    <cfRule type="cellIs" priority="154" operator="lessThan" aboveAverage="0" equalAverage="0" bottom="0" percent="0" rank="0" text="" dxfId="2">
      <formula>4</formula>
    </cfRule>
  </conditionalFormatting>
  <conditionalFormatting sqref="M26:M33">
    <cfRule type="cellIs" priority="155" operator="lessThan" aboveAverage="0" equalAverage="0" bottom="0" percent="0" rank="0" text="" dxfId="1">
      <formula>0</formula>
    </cfRule>
  </conditionalFormatting>
  <conditionalFormatting sqref="M26:M33">
    <cfRule type="cellIs" priority="156" operator="lessThan" aboveAverage="0" equalAverage="0" bottom="0" percent="0" rank="0" text="" dxfId="2">
      <formula>4</formula>
    </cfRule>
  </conditionalFormatting>
  <conditionalFormatting sqref="M40:M41">
    <cfRule type="cellIs" priority="157" operator="lessThan" aboveAverage="0" equalAverage="0" bottom="0" percent="0" rank="0" text="" dxfId="1">
      <formula>0</formula>
    </cfRule>
  </conditionalFormatting>
  <conditionalFormatting sqref="M40:M41">
    <cfRule type="cellIs" priority="158" operator="lessThan" aboveAverage="0" equalAverage="0" bottom="0" percent="0" rank="0" text="" dxfId="2">
      <formula>4</formula>
    </cfRule>
  </conditionalFormatting>
  <conditionalFormatting sqref="M40:M41">
    <cfRule type="cellIs" priority="159" operator="lessThan" aboveAverage="0" equalAverage="0" bottom="0" percent="0" rank="0" text="" dxfId="1">
      <formula>0</formula>
    </cfRule>
  </conditionalFormatting>
  <conditionalFormatting sqref="M40:M41">
    <cfRule type="cellIs" priority="160" operator="lessThan" aboveAverage="0" equalAverage="0" bottom="0" percent="0" rank="0" text="" dxfId="2">
      <formula>4</formula>
    </cfRule>
  </conditionalFormatting>
  <conditionalFormatting sqref="M40:M41">
    <cfRule type="cellIs" priority="161" operator="lessThan" aboveAverage="0" equalAverage="0" bottom="0" percent="0" rank="0" text="" dxfId="1">
      <formula>0</formula>
    </cfRule>
  </conditionalFormatting>
  <conditionalFormatting sqref="M40:M41">
    <cfRule type="cellIs" priority="162" operator="lessThan" aboveAverage="0" equalAverage="0" bottom="0" percent="0" rank="0" text="" dxfId="2">
      <formula>4</formula>
    </cfRule>
  </conditionalFormatting>
  <conditionalFormatting sqref="M40:M41">
    <cfRule type="cellIs" priority="163" operator="lessThan" aboveAverage="0" equalAverage="0" bottom="0" percent="0" rank="0" text="" dxfId="1">
      <formula>0</formula>
    </cfRule>
  </conditionalFormatting>
  <conditionalFormatting sqref="M40:M41">
    <cfRule type="cellIs" priority="164" operator="lessThan" aboveAverage="0" equalAverage="0" bottom="0" percent="0" rank="0" text="" dxfId="2">
      <formula>4</formula>
    </cfRule>
  </conditionalFormatting>
  <conditionalFormatting sqref="M40:M41">
    <cfRule type="cellIs" priority="165" operator="lessThan" aboveAverage="0" equalAverage="0" bottom="0" percent="0" rank="0" text="" dxfId="1">
      <formula>0</formula>
    </cfRule>
  </conditionalFormatting>
  <conditionalFormatting sqref="M40:M41">
    <cfRule type="cellIs" priority="166" operator="lessThan" aboveAverage="0" equalAverage="0" bottom="0" percent="0" rank="0" text="" dxfId="2">
      <formula>4</formula>
    </cfRule>
  </conditionalFormatting>
  <conditionalFormatting sqref="M40:M41">
    <cfRule type="cellIs" priority="167" operator="lessThan" aboveAverage="0" equalAverage="0" bottom="0" percent="0" rank="0" text="" dxfId="1">
      <formula>0</formula>
    </cfRule>
  </conditionalFormatting>
  <conditionalFormatting sqref="M40:M41">
    <cfRule type="cellIs" priority="168" operator="lessThan" aboveAverage="0" equalAverage="0" bottom="0" percent="0" rank="0" text="" dxfId="2">
      <formula>4</formula>
    </cfRule>
  </conditionalFormatting>
  <conditionalFormatting sqref="M40:M41">
    <cfRule type="cellIs" priority="169" operator="lessThan" aboveAverage="0" equalAverage="0" bottom="0" percent="0" rank="0" text="" dxfId="1">
      <formula>0</formula>
    </cfRule>
  </conditionalFormatting>
  <conditionalFormatting sqref="M40:M41">
    <cfRule type="cellIs" priority="170" operator="lessThan" aboveAverage="0" equalAverage="0" bottom="0" percent="0" rank="0" text="" dxfId="2">
      <formula>4</formula>
    </cfRule>
  </conditionalFormatting>
  <conditionalFormatting sqref="M40:M41">
    <cfRule type="cellIs" priority="171" operator="lessThan" aboveAverage="0" equalAverage="0" bottom="0" percent="0" rank="0" text="" dxfId="1">
      <formula>0</formula>
    </cfRule>
  </conditionalFormatting>
  <conditionalFormatting sqref="M40:M41">
    <cfRule type="cellIs" priority="172" operator="lessThan" aboveAverage="0" equalAverage="0" bottom="0" percent="0" rank="0" text="" dxfId="2">
      <formula>4</formula>
    </cfRule>
  </conditionalFormatting>
  <conditionalFormatting sqref="M40:M41">
    <cfRule type="cellIs" priority="173" operator="lessThan" aboveAverage="0" equalAverage="0" bottom="0" percent="0" rank="0" text="" dxfId="1">
      <formula>0</formula>
    </cfRule>
  </conditionalFormatting>
  <conditionalFormatting sqref="M40:M41">
    <cfRule type="cellIs" priority="174" operator="lessThan" aboveAverage="0" equalAverage="0" bottom="0" percent="0" rank="0" text="" dxfId="2">
      <formula>4</formula>
    </cfRule>
  </conditionalFormatting>
  <conditionalFormatting sqref="M40:M41">
    <cfRule type="cellIs" priority="175" operator="lessThan" aboveAverage="0" equalAverage="0" bottom="0" percent="0" rank="0" text="" dxfId="1">
      <formula>0</formula>
    </cfRule>
  </conditionalFormatting>
  <conditionalFormatting sqref="M40:M41">
    <cfRule type="cellIs" priority="176" operator="lessThan" aboveAverage="0" equalAverage="0" bottom="0" percent="0" rank="0" text="" dxfId="2">
      <formula>4</formula>
    </cfRule>
  </conditionalFormatting>
  <conditionalFormatting sqref="N2:AR3">
    <cfRule type="expression" priority="177" aboveAverage="0" equalAverage="0" bottom="0" percent="0" rank="0" text="" dxfId="3">
      <formula>TODAY()&gt;N$2</formula>
    </cfRule>
  </conditionalFormatting>
  <conditionalFormatting sqref="A3:C3 E3:F3 H3:AR3">
    <cfRule type="containsText" priority="178" operator="containsText" aboveAverage="0" equalAverage="0" bottom="0" percent="0" rank="0" text="日" dxfId="4"/>
  </conditionalFormatting>
  <conditionalFormatting sqref="A3:C3 E3:F3 H3:AR3">
    <cfRule type="containsText" priority="179" operator="containsText" aboveAverage="0" equalAverage="0" bottom="0" percent="0" rank="0" text="土" dxfId="5"/>
  </conditionalFormatting>
  <conditionalFormatting sqref="M4 M10:M39 M42:M87 M108:M120 M5:M7">
    <cfRule type="cellIs" priority="180" operator="lessThan" aboveAverage="0" equalAverage="0" bottom="0" percent="0" rank="0" text="" dxfId="1">
      <formula>0</formula>
    </cfRule>
  </conditionalFormatting>
  <conditionalFormatting sqref="M4 M10:M39 M42:M87 M108:M120 M5:M7">
    <cfRule type="cellIs" priority="181" operator="lessThan" aboveAverage="0" equalAverage="0" bottom="0" percent="0" rank="0" text="" dxfId="2">
      <formula>4</formula>
    </cfRule>
  </conditionalFormatting>
  <conditionalFormatting sqref="N4:Q39 R4:S7 T4:AR6 R9:AR21 N42:AR87 N94:AR95 N108:AR122 T7:AD8 AF7:AR8 R24:AR39 R22:AD23 AF22:AR23">
    <cfRule type="expression" priority="182" aboveAverage="0" equalAverage="0" bottom="0" percent="0" rank="0" text="" dxfId="0">
      <formula>AND(N$2&gt;=$J4,N$2&lt;=$K4)</formula>
    </cfRule>
  </conditionalFormatting>
  <conditionalFormatting sqref="M6:M7 M10:M39 M42:M87 M108:M109 M119:M121 M115:M117 M111:M113">
    <cfRule type="cellIs" priority="183" operator="lessThan" aboveAverage="0" equalAverage="0" bottom="0" percent="0" rank="0" text="" dxfId="1">
      <formula>0</formula>
    </cfRule>
  </conditionalFormatting>
  <conditionalFormatting sqref="M6:M7 M10:M39 M42:M87 M108:M109 M119:M121 M115:M117 M111:M113">
    <cfRule type="cellIs" priority="184" operator="lessThan" aboveAverage="0" equalAverage="0" bottom="0" percent="0" rank="0" text="" dxfId="2">
      <formula>4</formula>
    </cfRule>
  </conditionalFormatting>
  <conditionalFormatting sqref="M10:M11 M22:M23 M32:M35 M44:M77">
    <cfRule type="cellIs" priority="185" operator="lessThan" aboveAverage="0" equalAverage="0" bottom="0" percent="0" rank="0" text="" dxfId="1">
      <formula>0</formula>
    </cfRule>
  </conditionalFormatting>
  <conditionalFormatting sqref="M10:M11 M22:M23 M32:M35 M44:M77">
    <cfRule type="cellIs" priority="186" operator="lessThan" aboveAverage="0" equalAverage="0" bottom="0" percent="0" rank="0" text="" dxfId="2">
      <formula>4</formula>
    </cfRule>
  </conditionalFormatting>
  <conditionalFormatting sqref="M10:M11 M20:M39 M44:M87">
    <cfRule type="cellIs" priority="187" operator="lessThan" aboveAverage="0" equalAverage="0" bottom="0" percent="0" rank="0" text="" dxfId="1">
      <formula>0</formula>
    </cfRule>
  </conditionalFormatting>
  <conditionalFormatting sqref="M10:M11 M20:M39 M44:M87">
    <cfRule type="cellIs" priority="188" operator="lessThan" aboveAverage="0" equalAverage="0" bottom="0" percent="0" rank="0" text="" dxfId="2">
      <formula>4</formula>
    </cfRule>
  </conditionalFormatting>
  <conditionalFormatting sqref="M10:M11 M36:M39 M42:M87 M20:M21 M108:M122">
    <cfRule type="cellIs" priority="189" operator="lessThan" aboveAverage="0" equalAverage="0" bottom="0" percent="0" rank="0" text="" dxfId="1">
      <formula>0</formula>
    </cfRule>
  </conditionalFormatting>
  <conditionalFormatting sqref="M10:M11 M36:M39 M42:M87 M20:M21 M108:M122">
    <cfRule type="cellIs" priority="190" operator="lessThan" aboveAverage="0" equalAverage="0" bottom="0" percent="0" rank="0" text="" dxfId="2">
      <formula>4</formula>
    </cfRule>
  </conditionalFormatting>
  <conditionalFormatting sqref="M10:M39 M42:M87 M108:M109 M121 M119 M117 M115 M113 M111">
    <cfRule type="cellIs" priority="191" operator="lessThan" aboveAverage="0" equalAverage="0" bottom="0" percent="0" rank="0" text="" dxfId="1">
      <formula>0</formula>
    </cfRule>
  </conditionalFormatting>
  <conditionalFormatting sqref="M10:M39 M42:M87 M108:M109 M121 M119 M117 M115 M113 M111">
    <cfRule type="cellIs" priority="192" operator="lessThan" aboveAverage="0" equalAverage="0" bottom="0" percent="0" rank="0" text="" dxfId="2">
      <formula>4</formula>
    </cfRule>
  </conditionalFormatting>
  <conditionalFormatting sqref="M10:M11 M20:M39 M42:M87 M108:M122">
    <cfRule type="cellIs" priority="193" operator="lessThan" aboveAverage="0" equalAverage="0" bottom="0" percent="0" rank="0" text="" dxfId="1">
      <formula>0</formula>
    </cfRule>
  </conditionalFormatting>
  <conditionalFormatting sqref="M10:M11 M20:M39 M42:M87 M108:M122">
    <cfRule type="cellIs" priority="194" operator="lessThan" aboveAverage="0" equalAverage="0" bottom="0" percent="0" rank="0" text="" dxfId="2">
      <formula>4</formula>
    </cfRule>
  </conditionalFormatting>
  <conditionalFormatting sqref="Y18:AA20 V20:X20">
    <cfRule type="expression" priority="195" aboveAverage="0" equalAverage="0" bottom="0" percent="0" rank="0" text="" dxfId="0">
      <formula>AND(X$2&gt;=$J14,X$2&lt;=$K14)</formula>
    </cfRule>
  </conditionalFormatting>
  <conditionalFormatting sqref="M20:M21 M44:M87 M108:M122">
    <cfRule type="cellIs" priority="196" operator="lessThan" aboveAverage="0" equalAverage="0" bottom="0" percent="0" rank="0" text="" dxfId="1">
      <formula>0</formula>
    </cfRule>
  </conditionalFormatting>
  <conditionalFormatting sqref="M20:M21 M44:M87 M108:M122">
    <cfRule type="cellIs" priority="197" operator="lessThan" aboveAverage="0" equalAverage="0" bottom="0" percent="0" rank="0" text="" dxfId="2">
      <formula>4</formula>
    </cfRule>
  </conditionalFormatting>
  <conditionalFormatting sqref="M20:M21 M36:M39 M42:M87 M108:M112">
    <cfRule type="cellIs" priority="198" operator="lessThan" aboveAverage="0" equalAverage="0" bottom="0" percent="0" rank="0" text="" dxfId="1">
      <formula>0</formula>
    </cfRule>
  </conditionalFormatting>
  <conditionalFormatting sqref="M20:M21 M36:M39 M42:M87 M108:M112">
    <cfRule type="cellIs" priority="199" operator="lessThan" aboveAverage="0" equalAverage="0" bottom="0" percent="0" rank="0" text="" dxfId="2">
      <formula>4</formula>
    </cfRule>
  </conditionalFormatting>
  <conditionalFormatting sqref="M20:M21 M42:M87 M108:M114">
    <cfRule type="cellIs" priority="200" operator="lessThan" aboveAverage="0" equalAverage="0" bottom="0" percent="0" rank="0" text="" dxfId="1">
      <formula>0</formula>
    </cfRule>
  </conditionalFormatting>
  <conditionalFormatting sqref="M20:M21 M42:M87 M108:M114">
    <cfRule type="cellIs" priority="201" operator="lessThan" aboveAverage="0" equalAverage="0" bottom="0" percent="0" rank="0" text="" dxfId="2">
      <formula>4</formula>
    </cfRule>
  </conditionalFormatting>
  <conditionalFormatting sqref="M22:M29 M32:M39 M42:M75">
    <cfRule type="cellIs" priority="202" operator="lessThan" aboveAverage="0" equalAverage="0" bottom="0" percent="0" rank="0" text="" dxfId="1">
      <formula>0</formula>
    </cfRule>
  </conditionalFormatting>
  <conditionalFormatting sqref="M22:M29 M32:M39 M42:M75">
    <cfRule type="cellIs" priority="203" operator="lessThan" aboveAverage="0" equalAverage="0" bottom="0" percent="0" rank="0" text="" dxfId="2">
      <formula>4</formula>
    </cfRule>
  </conditionalFormatting>
  <conditionalFormatting sqref="M24:M39 M42:M43">
    <cfRule type="cellIs" priority="204" operator="lessThan" aboveAverage="0" equalAverage="0" bottom="0" percent="0" rank="0" text="" dxfId="1">
      <formula>0</formula>
    </cfRule>
  </conditionalFormatting>
  <conditionalFormatting sqref="M24:M39 M42:M43">
    <cfRule type="cellIs" priority="205" operator="lessThan" aboveAverage="0" equalAverage="0" bottom="0" percent="0" rank="0" text="" dxfId="2">
      <formula>4</formula>
    </cfRule>
  </conditionalFormatting>
  <conditionalFormatting sqref="M26:M29 M36:M39 M42:M73">
    <cfRule type="cellIs" priority="206" operator="lessThan" aboveAverage="0" equalAverage="0" bottom="0" percent="0" rank="0" text="" dxfId="1">
      <formula>0</formula>
    </cfRule>
  </conditionalFormatting>
  <conditionalFormatting sqref="M26:M29 M36:M39 M42:M73">
    <cfRule type="cellIs" priority="207" operator="lessThan" aboveAverage="0" equalAverage="0" bottom="0" percent="0" rank="0" text="" dxfId="2">
      <formula>4</formula>
    </cfRule>
  </conditionalFormatting>
  <conditionalFormatting sqref="N40:AR41">
    <cfRule type="expression" priority="208" aboveAverage="0" equalAverage="0" bottom="0" percent="0" rank="0" text="" dxfId="0">
      <formula>AND(N$2&gt;=$J40,N$2&lt;=$K40)</formula>
    </cfRule>
  </conditionalFormatting>
  <conditionalFormatting sqref="N88:AR91">
    <cfRule type="expression" priority="209" aboveAverage="0" equalAverage="0" bottom="0" percent="0" rank="0" text="" dxfId="0">
      <formula>AND(N$2&gt;=$J88,N$2&lt;=$K88)</formula>
    </cfRule>
  </conditionalFormatting>
  <conditionalFormatting sqref="N92:AR93">
    <cfRule type="expression" priority="210" aboveAverage="0" equalAverage="0" bottom="0" percent="0" rank="0" text="" dxfId="0">
      <formula>AND(N$2&gt;=$J92,N$2&lt;=$K92)</formula>
    </cfRule>
  </conditionalFormatting>
  <conditionalFormatting sqref="N96:AR97">
    <cfRule type="expression" priority="211" aboveAverage="0" equalAverage="0" bottom="0" percent="0" rank="0" text="" dxfId="0">
      <formula>AND(N$2&gt;=$J96,N$2&lt;=$K96)</formula>
    </cfRule>
  </conditionalFormatting>
  <conditionalFormatting sqref="N98:AR99">
    <cfRule type="expression" priority="212" aboveAverage="0" equalAverage="0" bottom="0" percent="0" rank="0" text="" dxfId="0">
      <formula>AND(N$2&gt;=$J98,N$2&lt;=$K98)</formula>
    </cfRule>
  </conditionalFormatting>
  <conditionalFormatting sqref="N100:AR101">
    <cfRule type="expression" priority="213" aboveAverage="0" equalAverage="0" bottom="0" percent="0" rank="0" text="" dxfId="0">
      <formula>AND(N$2&gt;=$J100,N$2&lt;=$K100)</formula>
    </cfRule>
  </conditionalFormatting>
  <conditionalFormatting sqref="N102:AR103">
    <cfRule type="expression" priority="214" aboveAverage="0" equalAverage="0" bottom="0" percent="0" rank="0" text="" dxfId="0">
      <formula>AND(N$2&gt;=$J102,N$2&lt;=$K102)</formula>
    </cfRule>
  </conditionalFormatting>
  <conditionalFormatting sqref="N104:AR105">
    <cfRule type="expression" priority="215" aboveAverage="0" equalAverage="0" bottom="0" percent="0" rank="0" text="" dxfId="0">
      <formula>AND(N$2&gt;=$J104,N$2&lt;=$K104)</formula>
    </cfRule>
  </conditionalFormatting>
  <conditionalFormatting sqref="N106:AR107">
    <cfRule type="expression" priority="216" aboveAverage="0" equalAverage="0" bottom="0" percent="0" rank="0" text="" dxfId="0">
      <formula>AND(N$2&gt;=$J106,N$2&lt;=$K106)</formula>
    </cfRule>
  </conditionalFormatting>
  <conditionalFormatting sqref="AE22:AE23">
    <cfRule type="expression" priority="217" aboveAverage="0" equalAverage="0" bottom="0" percent="0" rank="0" text="" dxfId="0">
      <formula>AND(AE$2&gt;=$J22,AE$2&lt;=$K22)</formula>
    </cfRule>
  </conditionalFormatting>
  <conditionalFormatting sqref="AE7:AE8">
    <cfRule type="expression" priority="218" aboveAverage="0" equalAverage="0" bottom="0" percent="0" rank="0" text="" dxfId="0">
      <formula>AND(AE$2&gt;=$J7,AE$2&lt;=$K7)</formula>
    </cfRule>
  </conditionalFormatting>
  <dataValidations count="2">
    <dataValidation allowBlank="true" operator="between" showDropDown="false" showErrorMessage="true" showInputMessage="false" sqref="H6 H8 H10 H12 H14 H16 H18 H20 H22 H24 H26 H28 H30 H32 H34 H36 H38 H40 H42 H44 H46 H48 H50 H52 H54 H56 H58 H60 H62 H64 H66 H68 H70 H72 H74 H76 H78 H80 H82 H84 H86 H88 H90 H92 H94 H96 H98 H100 H102 H104 H106 H108 H111 H113 H115 H117 H119" type="list">
      <formula1>"未着手,進行中,保留,完了"</formula1>
      <formula2>0</formula2>
    </dataValidation>
    <dataValidation allowBlank="true" operator="between" showDropDown="false" showErrorMessage="true" showInputMessage="false" sqref="H121" type="list">
      <formula1>"未着手,進行中,保留,完了"</formula1>
      <formula2>0</formula2>
    </dataValidation>
  </dataValidation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Roman,標準"&amp;12&amp;A</oddHeader>
    <oddFooter>&amp;C&amp;"Times New Roman,標準"&amp;12ページ &amp;P</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W71"/>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H42" activeCellId="0" sqref="H42"/>
    </sheetView>
  </sheetViews>
  <sheetFormatPr defaultRowHeight="15" zeroHeight="false" outlineLevelRow="0" outlineLevelCol="0"/>
  <cols>
    <col collapsed="false" customWidth="true" hidden="false" outlineLevel="0" max="1" min="1" style="0" width="3.63"/>
    <col collapsed="false" customWidth="true" hidden="false" outlineLevel="0" max="2" min="2" style="0" width="14.38"/>
    <col collapsed="false" customWidth="true" hidden="false" outlineLevel="0" max="3" min="3" style="0" width="6.63"/>
    <col collapsed="false" customWidth="true" hidden="false" outlineLevel="0" max="4" min="4" style="0" width="26.13"/>
    <col collapsed="false" customWidth="true" hidden="false" outlineLevel="0" max="5" min="5" style="0" width="24.4"/>
    <col collapsed="false" customWidth="true" hidden="false" outlineLevel="0" max="6" min="6" style="0" width="21.89"/>
    <col collapsed="false" customWidth="true" hidden="false" outlineLevel="0" max="7" min="7" style="0" width="18.89"/>
    <col collapsed="false" customWidth="true" hidden="false" outlineLevel="0" max="8" min="8" style="0" width="23.01"/>
    <col collapsed="false" customWidth="true" hidden="false" outlineLevel="0" max="9" min="9" style="0" width="21.75"/>
    <col collapsed="false" customWidth="true" hidden="true" outlineLevel="0" max="10" min="10" style="0" width="21.75"/>
    <col collapsed="false" customWidth="true" hidden="false" outlineLevel="0" max="11" min="11" style="0" width="15.5"/>
    <col collapsed="false" customWidth="true" hidden="false" outlineLevel="0" max="12" min="12" style="0" width="13.5"/>
    <col collapsed="false" customWidth="true" hidden="false" outlineLevel="0" max="13" min="13" style="0" width="9.63"/>
    <col collapsed="false" customWidth="true" hidden="false" outlineLevel="0" max="14" min="14" style="0" width="17.89"/>
    <col collapsed="false" customWidth="true" hidden="false" outlineLevel="0" max="23" min="15" style="0" width="9.63"/>
    <col collapsed="false" customWidth="true" hidden="false" outlineLevel="0" max="26" min="24" style="0" width="8.63"/>
    <col collapsed="false" customWidth="true" hidden="false" outlineLevel="0" max="1025" min="27" style="0" width="12.63"/>
  </cols>
  <sheetData>
    <row r="1" customFormat="false" ht="15" hidden="false" customHeight="false" outlineLevel="0" collapsed="false">
      <c r="A1" s="12"/>
      <c r="B1" s="12" t="s">
        <v>23</v>
      </c>
      <c r="C1" s="12" t="s">
        <v>96</v>
      </c>
      <c r="D1" s="12" t="s">
        <v>97</v>
      </c>
      <c r="E1" s="12" t="s">
        <v>98</v>
      </c>
      <c r="F1" s="12" t="s">
        <v>99</v>
      </c>
      <c r="G1" s="51" t="s">
        <v>100</v>
      </c>
      <c r="H1" s="52" t="s">
        <v>101</v>
      </c>
      <c r="I1" s="11" t="s">
        <v>102</v>
      </c>
      <c r="J1" s="53" t="s">
        <v>103</v>
      </c>
      <c r="K1" s="22" t="s">
        <v>104</v>
      </c>
      <c r="L1" s="12" t="s">
        <v>105</v>
      </c>
    </row>
    <row r="2" customFormat="false" ht="15" hidden="false" customHeight="false" outlineLevel="0" collapsed="false">
      <c r="A2" s="54" t="s">
        <v>106</v>
      </c>
      <c r="B2" s="12" t="s">
        <v>107</v>
      </c>
      <c r="C2" s="12"/>
      <c r="D2" s="55" t="s">
        <v>108</v>
      </c>
      <c r="E2" s="56"/>
      <c r="F2" s="56"/>
      <c r="G2" s="57"/>
      <c r="H2" s="58" t="s">
        <v>109</v>
      </c>
      <c r="I2" s="44" t="s">
        <v>110</v>
      </c>
      <c r="J2" s="59" t="s">
        <v>111</v>
      </c>
      <c r="K2" s="60"/>
      <c r="L2" s="12" t="s">
        <v>39</v>
      </c>
    </row>
    <row r="3" customFormat="false" ht="15" hidden="false" customHeight="false" outlineLevel="0" collapsed="false">
      <c r="A3" s="61"/>
      <c r="B3" s="62"/>
      <c r="C3" s="62"/>
      <c r="D3" s="63" t="s">
        <v>112</v>
      </c>
      <c r="E3" s="62"/>
      <c r="F3" s="62"/>
      <c r="G3" s="64"/>
      <c r="H3" s="65" t="s">
        <v>113</v>
      </c>
      <c r="I3" s="44" t="s">
        <v>114</v>
      </c>
      <c r="J3" s="66" t="s">
        <v>115</v>
      </c>
      <c r="K3" s="45"/>
      <c r="L3" s="62"/>
    </row>
    <row r="4" customFormat="false" ht="13.8" hidden="false" customHeight="false" outlineLevel="0" collapsed="false">
      <c r="A4" s="67" t="n">
        <v>2</v>
      </c>
      <c r="B4" s="68" t="s">
        <v>116</v>
      </c>
      <c r="C4" s="69" t="s">
        <v>117</v>
      </c>
      <c r="D4" s="70" t="s">
        <v>118</v>
      </c>
      <c r="E4" s="71"/>
      <c r="F4" s="68"/>
      <c r="G4" s="72" t="s">
        <v>119</v>
      </c>
      <c r="H4" s="72" t="s">
        <v>120</v>
      </c>
      <c r="I4" s="44" t="s">
        <v>121</v>
      </c>
      <c r="J4" s="73" t="s">
        <v>122</v>
      </c>
      <c r="K4" s="12"/>
      <c r="L4" s="68" t="s">
        <v>30</v>
      </c>
    </row>
    <row r="5" customFormat="false" ht="15" hidden="false" customHeight="false" outlineLevel="0" collapsed="false">
      <c r="A5" s="67"/>
      <c r="B5" s="68"/>
      <c r="C5" s="69"/>
      <c r="D5" s="70" t="s">
        <v>123</v>
      </c>
      <c r="E5" s="68"/>
      <c r="F5" s="68"/>
      <c r="G5" s="72" t="s">
        <v>124</v>
      </c>
      <c r="H5" s="72" t="s">
        <v>125</v>
      </c>
      <c r="I5" s="44" t="s">
        <v>126</v>
      </c>
      <c r="J5" s="73" t="s">
        <v>127</v>
      </c>
      <c r="K5" s="68"/>
      <c r="L5" s="68" t="s">
        <v>30</v>
      </c>
    </row>
    <row r="6" customFormat="false" ht="15" hidden="false" customHeight="false" outlineLevel="0" collapsed="false">
      <c r="A6" s="61"/>
      <c r="B6" s="62"/>
      <c r="C6" s="3"/>
      <c r="D6" s="63" t="s">
        <v>128</v>
      </c>
      <c r="E6" s="74" t="s">
        <v>129</v>
      </c>
      <c r="F6" s="62"/>
      <c r="G6" s="75"/>
      <c r="H6" s="65" t="s">
        <v>130</v>
      </c>
      <c r="I6" s="44" t="s">
        <v>131</v>
      </c>
      <c r="J6" s="76" t="s">
        <v>132</v>
      </c>
      <c r="K6" s="62"/>
      <c r="L6" s="62" t="s">
        <v>30</v>
      </c>
    </row>
    <row r="7" customFormat="false" ht="13.8" hidden="false" customHeight="false" outlineLevel="0" collapsed="false">
      <c r="A7" s="68" t="n">
        <v>3</v>
      </c>
      <c r="B7" s="68" t="s">
        <v>25</v>
      </c>
      <c r="C7" s="68" t="s">
        <v>117</v>
      </c>
      <c r="D7" s="70" t="s">
        <v>133</v>
      </c>
      <c r="E7" s="70" t="s">
        <v>134</v>
      </c>
      <c r="F7" s="70" t="s">
        <v>135</v>
      </c>
      <c r="G7" s="77"/>
      <c r="I7" s="44" t="s">
        <v>136</v>
      </c>
      <c r="J7" s="78" t="s">
        <v>137</v>
      </c>
      <c r="K7" s="28"/>
      <c r="L7" s="68" t="s">
        <v>26</v>
      </c>
    </row>
    <row r="8" customFormat="false" ht="13.8" hidden="false" customHeight="false" outlineLevel="0" collapsed="false">
      <c r="A8" s="68"/>
      <c r="B8" s="68"/>
      <c r="C8" s="68"/>
      <c r="D8" s="70" t="s">
        <v>138</v>
      </c>
      <c r="E8" s="68"/>
      <c r="F8" s="68"/>
      <c r="G8" s="77"/>
      <c r="I8" s="44"/>
      <c r="J8" s="78"/>
      <c r="K8" s="28"/>
      <c r="L8" s="68" t="s">
        <v>26</v>
      </c>
    </row>
    <row r="9" customFormat="false" ht="13.8" hidden="false" customHeight="false" outlineLevel="0" collapsed="false">
      <c r="A9" s="68"/>
      <c r="B9" s="68"/>
      <c r="C9" s="68"/>
      <c r="D9" s="70" t="s">
        <v>139</v>
      </c>
      <c r="E9" s="68"/>
      <c r="F9" s="68"/>
      <c r="G9" s="68"/>
      <c r="H9" s="72" t="s">
        <v>140</v>
      </c>
      <c r="I9" s="44"/>
      <c r="J9" s="78"/>
      <c r="K9" s="28"/>
      <c r="L9" s="68" t="s">
        <v>26</v>
      </c>
    </row>
    <row r="10" customFormat="false" ht="15" hidden="false" customHeight="false" outlineLevel="0" collapsed="false">
      <c r="A10" s="79" t="n">
        <v>4</v>
      </c>
      <c r="B10" s="12" t="s">
        <v>141</v>
      </c>
      <c r="C10" s="79" t="s">
        <v>142</v>
      </c>
      <c r="D10" s="55" t="s">
        <v>143</v>
      </c>
      <c r="E10" s="79"/>
      <c r="F10" s="80"/>
      <c r="G10" s="81"/>
      <c r="H10" s="58" t="s">
        <v>144</v>
      </c>
      <c r="I10" s="44" t="s">
        <v>145</v>
      </c>
      <c r="J10" s="82" t="s">
        <v>146</v>
      </c>
      <c r="K10" s="12"/>
      <c r="L10" s="12" t="s">
        <v>32</v>
      </c>
    </row>
    <row r="11" customFormat="false" ht="13.8" hidden="false" customHeight="false" outlineLevel="0" collapsed="false">
      <c r="A11" s="68"/>
      <c r="B11" s="68"/>
      <c r="C11" s="68"/>
      <c r="D11" s="70" t="s">
        <v>147</v>
      </c>
      <c r="E11" s="68"/>
      <c r="F11" s="68"/>
      <c r="G11" s="83"/>
      <c r="H11" s="72" t="s">
        <v>148</v>
      </c>
      <c r="I11" s="44" t="s">
        <v>149</v>
      </c>
      <c r="J11" s="73" t="s">
        <v>146</v>
      </c>
      <c r="K11" s="68"/>
      <c r="L11" s="68"/>
    </row>
    <row r="12" customFormat="false" ht="15" hidden="false" customHeight="false" outlineLevel="0" collapsed="false">
      <c r="A12" s="68"/>
      <c r="B12" s="68"/>
      <c r="C12" s="68"/>
      <c r="D12" s="70" t="s">
        <v>150</v>
      </c>
      <c r="E12" s="70" t="s">
        <v>151</v>
      </c>
      <c r="F12" s="62"/>
      <c r="G12" s="77"/>
      <c r="H12" s="65" t="s">
        <v>152</v>
      </c>
      <c r="I12" s="44" t="s">
        <v>153</v>
      </c>
      <c r="J12" s="73" t="s">
        <v>154</v>
      </c>
      <c r="K12" s="62"/>
      <c r="L12" s="68"/>
    </row>
    <row r="13" customFormat="false" ht="13.8" hidden="false" customHeight="false" outlineLevel="0" collapsed="false">
      <c r="A13" s="12" t="n">
        <v>5</v>
      </c>
      <c r="B13" s="12" t="s">
        <v>45</v>
      </c>
      <c r="C13" s="30" t="s">
        <v>142</v>
      </c>
      <c r="D13" s="84" t="s">
        <v>155</v>
      </c>
      <c r="E13" s="84" t="s">
        <v>156</v>
      </c>
      <c r="F13" s="84" t="s">
        <v>157</v>
      </c>
      <c r="G13" s="37"/>
      <c r="H13" s="65" t="s">
        <v>158</v>
      </c>
      <c r="I13" s="44" t="s">
        <v>159</v>
      </c>
      <c r="J13" s="66" t="s">
        <v>159</v>
      </c>
      <c r="K13" s="45"/>
      <c r="L13" s="11" t="s">
        <v>46</v>
      </c>
    </row>
    <row r="14" customFormat="false" ht="14.25" hidden="false" customHeight="true" outlineLevel="0" collapsed="false">
      <c r="A14" s="68"/>
      <c r="B14" s="68"/>
      <c r="C14" s="45"/>
      <c r="D14" s="62"/>
      <c r="E14" s="63" t="s">
        <v>160</v>
      </c>
      <c r="F14" s="63" t="s">
        <v>161</v>
      </c>
      <c r="G14" s="37"/>
      <c r="H14" s="75"/>
      <c r="I14" s="44" t="s">
        <v>21</v>
      </c>
      <c r="J14" s="66" t="s">
        <v>21</v>
      </c>
      <c r="K14" s="45"/>
      <c r="L14" s="62"/>
    </row>
    <row r="15" customFormat="false" ht="13.8" hidden="false" customHeight="false" outlineLevel="0" collapsed="false">
      <c r="A15" s="62" t="n">
        <v>6</v>
      </c>
      <c r="B15" s="62" t="s">
        <v>48</v>
      </c>
      <c r="C15" s="62" t="s">
        <v>162</v>
      </c>
      <c r="D15" s="63" t="s">
        <v>163</v>
      </c>
      <c r="E15" s="63" t="s">
        <v>164</v>
      </c>
      <c r="F15" s="62"/>
      <c r="G15" s="64"/>
      <c r="H15" s="65" t="s">
        <v>165</v>
      </c>
      <c r="I15" s="44" t="s">
        <v>166</v>
      </c>
      <c r="J15" s="66" t="s">
        <v>80</v>
      </c>
      <c r="K15" s="45"/>
      <c r="L15" s="62" t="s">
        <v>46</v>
      </c>
    </row>
    <row r="16" customFormat="false" ht="13.8" hidden="false" customHeight="false" outlineLevel="0" collapsed="false">
      <c r="A16" s="85"/>
      <c r="B16" s="85"/>
      <c r="C16" s="85"/>
      <c r="D16" s="86"/>
      <c r="E16" s="87"/>
      <c r="F16" s="88"/>
      <c r="G16" s="89"/>
      <c r="H16" s="83"/>
      <c r="I16" s="44" t="s">
        <v>21</v>
      </c>
      <c r="J16" s="78" t="s">
        <v>21</v>
      </c>
      <c r="K16" s="90"/>
      <c r="L16" s="85"/>
      <c r="M16" s="91"/>
      <c r="N16" s="91"/>
      <c r="O16" s="91"/>
      <c r="P16" s="91"/>
      <c r="Q16" s="91"/>
      <c r="R16" s="91"/>
      <c r="S16" s="91"/>
      <c r="T16" s="91"/>
      <c r="U16" s="91"/>
      <c r="V16" s="91"/>
      <c r="W16" s="91"/>
    </row>
    <row r="17" customFormat="false" ht="13.8" hidden="false" customHeight="false" outlineLevel="0" collapsed="false">
      <c r="A17" s="12" t="n">
        <v>7</v>
      </c>
      <c r="B17" s="12" t="s">
        <v>49</v>
      </c>
      <c r="C17" s="12" t="s">
        <v>162</v>
      </c>
      <c r="D17" s="92" t="s">
        <v>167</v>
      </c>
      <c r="E17" s="93" t="s">
        <v>168</v>
      </c>
      <c r="F17" s="94" t="s">
        <v>169</v>
      </c>
      <c r="G17" s="37"/>
      <c r="H17" s="83"/>
      <c r="I17" s="44" t="s">
        <v>170</v>
      </c>
      <c r="J17" s="78" t="s">
        <v>171</v>
      </c>
      <c r="K17" s="28"/>
      <c r="L17" s="12" t="s">
        <v>39</v>
      </c>
    </row>
    <row r="18" customFormat="false" ht="15" hidden="false" customHeight="false" outlineLevel="0" collapsed="false">
      <c r="A18" s="54"/>
      <c r="B18" s="95"/>
      <c r="C18" s="96"/>
      <c r="D18" s="11"/>
      <c r="E18" s="84" t="s">
        <v>172</v>
      </c>
      <c r="F18" s="44"/>
      <c r="G18" s="97"/>
      <c r="H18" s="98"/>
      <c r="I18" s="99"/>
      <c r="J18" s="100"/>
      <c r="K18" s="101"/>
      <c r="L18" s="95"/>
    </row>
    <row r="19" customFormat="false" ht="15" hidden="false" customHeight="false" outlineLevel="0" collapsed="false">
      <c r="A19" s="54" t="n">
        <v>8</v>
      </c>
      <c r="B19" s="12" t="s">
        <v>42</v>
      </c>
      <c r="C19" s="79" t="s">
        <v>162</v>
      </c>
      <c r="D19" s="93" t="s">
        <v>173</v>
      </c>
      <c r="E19" s="102" t="s">
        <v>174</v>
      </c>
      <c r="F19" s="55" t="s">
        <v>175</v>
      </c>
      <c r="G19" s="81"/>
      <c r="H19" s="58" t="s">
        <v>176</v>
      </c>
      <c r="I19" s="11" t="s">
        <v>177</v>
      </c>
      <c r="J19" s="79" t="s">
        <v>76</v>
      </c>
      <c r="K19" s="12"/>
      <c r="L19" s="12" t="s">
        <v>43</v>
      </c>
    </row>
    <row r="20" customFormat="false" ht="13.8" hidden="false" customHeight="false" outlineLevel="0" collapsed="false">
      <c r="A20" s="67"/>
      <c r="B20" s="68"/>
      <c r="C20" s="69"/>
      <c r="D20" s="103"/>
      <c r="E20" s="94" t="s">
        <v>178</v>
      </c>
      <c r="F20" s="85"/>
      <c r="G20" s="104"/>
      <c r="H20" s="105"/>
      <c r="I20" s="11"/>
      <c r="J20" s="69"/>
      <c r="K20" s="68"/>
      <c r="L20" s="68"/>
    </row>
    <row r="21" customFormat="false" ht="15" hidden="false" customHeight="false" outlineLevel="0" collapsed="false">
      <c r="A21" s="12" t="n">
        <v>9</v>
      </c>
      <c r="B21" s="12" t="s">
        <v>50</v>
      </c>
      <c r="C21" s="11" t="s">
        <v>142</v>
      </c>
      <c r="D21" s="12"/>
      <c r="E21" s="12"/>
      <c r="F21" s="12"/>
      <c r="G21" s="37"/>
      <c r="H21" s="54"/>
      <c r="I21" s="11"/>
      <c r="J21" s="3"/>
      <c r="K21" s="11"/>
      <c r="L21" s="11"/>
    </row>
    <row r="22" customFormat="false" ht="15.75" hidden="false" customHeight="true" outlineLevel="0" collapsed="false">
      <c r="A22" s="79" t="n">
        <v>10</v>
      </c>
      <c r="B22" s="12" t="s">
        <v>36</v>
      </c>
      <c r="C22" s="79" t="s">
        <v>142</v>
      </c>
      <c r="D22" s="106" t="s">
        <v>179</v>
      </c>
      <c r="E22" s="55" t="s">
        <v>180</v>
      </c>
      <c r="F22" s="55" t="s">
        <v>181</v>
      </c>
      <c r="G22" s="79"/>
      <c r="H22" s="72" t="s">
        <v>182</v>
      </c>
      <c r="I22" s="11" t="s">
        <v>183</v>
      </c>
      <c r="J22" s="79" t="s">
        <v>184</v>
      </c>
      <c r="K22" s="12"/>
      <c r="L22" s="68" t="s">
        <v>37</v>
      </c>
    </row>
    <row r="23" customFormat="false" ht="15.75" hidden="false" customHeight="true" outlineLevel="0" collapsed="false">
      <c r="A23" s="69"/>
      <c r="B23" s="68"/>
      <c r="C23" s="69"/>
      <c r="D23" s="106" t="s">
        <v>185</v>
      </c>
      <c r="E23" s="68"/>
      <c r="F23" s="68"/>
      <c r="G23" s="107"/>
      <c r="H23" s="108"/>
      <c r="I23" s="11" t="s">
        <v>186</v>
      </c>
      <c r="J23" s="69" t="s">
        <v>187</v>
      </c>
      <c r="K23" s="68"/>
      <c r="L23" s="68"/>
    </row>
    <row r="24" customFormat="false" ht="15.75" hidden="false" customHeight="true" outlineLevel="0" collapsed="false">
      <c r="A24" s="68"/>
      <c r="B24" s="68"/>
      <c r="C24" s="68"/>
      <c r="D24" s="106" t="s">
        <v>188</v>
      </c>
      <c r="E24" s="68"/>
      <c r="F24" s="68"/>
      <c r="G24" s="83"/>
      <c r="H24" s="72" t="s">
        <v>189</v>
      </c>
      <c r="I24" s="11" t="s">
        <v>190</v>
      </c>
      <c r="J24" s="69" t="s">
        <v>191</v>
      </c>
      <c r="K24" s="68"/>
      <c r="L24" s="68"/>
    </row>
    <row r="25" customFormat="false" ht="15.75" hidden="false" customHeight="true" outlineLevel="0" collapsed="false">
      <c r="A25" s="68"/>
      <c r="B25" s="68"/>
      <c r="C25" s="68"/>
      <c r="D25" s="106" t="s">
        <v>192</v>
      </c>
      <c r="E25" s="62"/>
      <c r="F25" s="68"/>
      <c r="G25" s="77"/>
      <c r="H25" s="72" t="s">
        <v>193</v>
      </c>
      <c r="I25" s="11" t="s">
        <v>194</v>
      </c>
      <c r="J25" s="69" t="s">
        <v>195</v>
      </c>
      <c r="K25" s="62"/>
      <c r="L25" s="68"/>
    </row>
    <row r="26" customFormat="false" ht="15.75" hidden="false" customHeight="true" outlineLevel="0" collapsed="false">
      <c r="A26" s="12" t="n">
        <v>11</v>
      </c>
      <c r="B26" s="12" t="s">
        <v>196</v>
      </c>
      <c r="C26" s="12" t="s">
        <v>142</v>
      </c>
      <c r="D26" s="55" t="s">
        <v>197</v>
      </c>
      <c r="E26" s="12"/>
      <c r="F26" s="12"/>
      <c r="G26" s="12"/>
      <c r="H26" s="58" t="s">
        <v>198</v>
      </c>
      <c r="I26" s="11" t="s">
        <v>199</v>
      </c>
      <c r="J26" s="109" t="s">
        <v>77</v>
      </c>
      <c r="K26" s="22"/>
      <c r="L26" s="12" t="s">
        <v>37</v>
      </c>
    </row>
    <row r="27" customFormat="false" ht="15.75" hidden="false" customHeight="true" outlineLevel="0" collapsed="false">
      <c r="A27" s="68"/>
      <c r="B27" s="68"/>
      <c r="C27" s="68"/>
      <c r="D27" s="70" t="s">
        <v>200</v>
      </c>
      <c r="E27" s="70" t="s">
        <v>201</v>
      </c>
      <c r="F27" s="85"/>
      <c r="G27" s="85"/>
      <c r="H27" s="110" t="s">
        <v>202</v>
      </c>
      <c r="I27" s="11" t="s">
        <v>203</v>
      </c>
      <c r="J27" s="111" t="s">
        <v>78</v>
      </c>
      <c r="K27" s="28"/>
      <c r="L27" s="12" t="s">
        <v>32</v>
      </c>
    </row>
    <row r="28" customFormat="false" ht="15.75" hidden="false" customHeight="true" outlineLevel="0" collapsed="false">
      <c r="A28" s="62" t="n">
        <v>12</v>
      </c>
      <c r="B28" s="62" t="s">
        <v>35</v>
      </c>
      <c r="C28" s="62" t="s">
        <v>142</v>
      </c>
      <c r="D28" s="63" t="s">
        <v>204</v>
      </c>
      <c r="E28" s="70" t="s">
        <v>205</v>
      </c>
      <c r="F28" s="70" t="s">
        <v>206</v>
      </c>
      <c r="G28" s="62"/>
      <c r="H28" s="112" t="s">
        <v>207</v>
      </c>
      <c r="I28" s="11" t="s">
        <v>208</v>
      </c>
      <c r="J28" s="113" t="s">
        <v>70</v>
      </c>
      <c r="K28" s="45"/>
      <c r="L28" s="62"/>
    </row>
    <row r="29" customFormat="false" ht="17.25" hidden="false" customHeight="true" outlineLevel="0" collapsed="false">
      <c r="A29" s="12" t="n">
        <v>13</v>
      </c>
      <c r="B29" s="12" t="s">
        <v>40</v>
      </c>
      <c r="C29" s="12" t="s">
        <v>117</v>
      </c>
      <c r="D29" s="55" t="s">
        <v>209</v>
      </c>
      <c r="E29" s="55" t="s">
        <v>210</v>
      </c>
      <c r="F29" s="55" t="s">
        <v>211</v>
      </c>
      <c r="G29" s="12"/>
      <c r="H29" s="114" t="s">
        <v>212</v>
      </c>
      <c r="I29" s="11" t="s">
        <v>213</v>
      </c>
      <c r="J29" s="109" t="s">
        <v>213</v>
      </c>
      <c r="K29" s="22"/>
      <c r="L29" s="12" t="s">
        <v>41</v>
      </c>
    </row>
    <row r="30" customFormat="false" ht="17.25" hidden="false" customHeight="true" outlineLevel="0" collapsed="false">
      <c r="A30" s="12"/>
      <c r="B30" s="12"/>
      <c r="C30" s="12"/>
      <c r="D30" s="55" t="s">
        <v>214</v>
      </c>
      <c r="E30" s="55" t="s">
        <v>215</v>
      </c>
      <c r="F30" s="115" t="s">
        <v>216</v>
      </c>
      <c r="G30" s="12"/>
      <c r="H30" s="115" t="s">
        <v>217</v>
      </c>
      <c r="I30" s="11"/>
      <c r="J30" s="109"/>
      <c r="K30" s="79"/>
      <c r="L30" s="12" t="s">
        <v>41</v>
      </c>
    </row>
    <row r="31" customFormat="false" ht="15.75" hidden="false" customHeight="true" outlineLevel="0" collapsed="false">
      <c r="A31" s="12" t="s">
        <v>218</v>
      </c>
      <c r="B31" s="12" t="s">
        <v>219</v>
      </c>
      <c r="C31" s="12"/>
      <c r="D31" s="12" t="s">
        <v>220</v>
      </c>
      <c r="E31" s="12" t="s">
        <v>221</v>
      </c>
      <c r="F31" s="12" t="s">
        <v>222</v>
      </c>
      <c r="G31" s="12"/>
      <c r="H31" s="54" t="s">
        <v>223</v>
      </c>
      <c r="I31" s="116" t="s">
        <v>224</v>
      </c>
      <c r="J31" s="117" t="s">
        <v>146</v>
      </c>
      <c r="K31" s="118"/>
      <c r="L31" s="119"/>
    </row>
    <row r="32" customFormat="false" ht="15.75" hidden="false" customHeight="true" outlineLevel="0" collapsed="false">
      <c r="A32" s="68"/>
      <c r="B32" s="68"/>
      <c r="C32" s="68"/>
      <c r="D32" s="68" t="s">
        <v>225</v>
      </c>
      <c r="E32" s="68" t="s">
        <v>226</v>
      </c>
      <c r="F32" s="68"/>
      <c r="G32" s="68"/>
      <c r="H32" s="67" t="s">
        <v>227</v>
      </c>
      <c r="I32" s="11" t="s">
        <v>228</v>
      </c>
      <c r="J32" s="111" t="s">
        <v>146</v>
      </c>
      <c r="K32" s="28"/>
      <c r="L32" s="68"/>
    </row>
    <row r="33" customFormat="false" ht="15.75" hidden="false" customHeight="true" outlineLevel="0" collapsed="false">
      <c r="A33" s="62"/>
      <c r="B33" s="62"/>
      <c r="C33" s="62"/>
      <c r="D33" s="62" t="s">
        <v>229</v>
      </c>
      <c r="E33" s="62"/>
      <c r="F33" s="62"/>
      <c r="G33" s="62"/>
      <c r="H33" s="61" t="s">
        <v>230</v>
      </c>
      <c r="I33" s="11" t="s">
        <v>231</v>
      </c>
      <c r="J33" s="113" t="s">
        <v>232</v>
      </c>
      <c r="K33" s="45"/>
      <c r="L33" s="62"/>
    </row>
    <row r="34" customFormat="false" ht="15.75" hidden="false" customHeight="true" outlineLevel="0" collapsed="false">
      <c r="A34" s="62"/>
      <c r="B34" s="62" t="s">
        <v>233</v>
      </c>
      <c r="C34" s="62"/>
      <c r="D34" s="62"/>
      <c r="E34" s="62"/>
      <c r="F34" s="62"/>
      <c r="G34" s="64"/>
      <c r="H34" s="75"/>
      <c r="I34" s="37" t="s">
        <v>234</v>
      </c>
      <c r="J34" s="120"/>
      <c r="K34" s="121"/>
      <c r="L34" s="62"/>
      <c r="M34" s="122"/>
    </row>
    <row r="35" customFormat="false" ht="15.75" hidden="false" customHeight="true" outlineLevel="0" collapsed="false">
      <c r="A35" s="62" t="n">
        <v>15</v>
      </c>
      <c r="B35" s="68" t="s">
        <v>235</v>
      </c>
      <c r="C35" s="68"/>
      <c r="D35" s="68" t="s">
        <v>236</v>
      </c>
      <c r="E35" s="68" t="s">
        <v>237</v>
      </c>
      <c r="F35" s="68" t="s">
        <v>238</v>
      </c>
      <c r="G35" s="77"/>
      <c r="H35" s="83" t="s">
        <v>239</v>
      </c>
      <c r="I35" s="80" t="s">
        <v>240</v>
      </c>
      <c r="J35" s="120" t="s">
        <v>241</v>
      </c>
      <c r="K35" s="20"/>
      <c r="L35" s="68"/>
      <c r="M35" s="122"/>
    </row>
    <row r="36" customFormat="false" ht="15.75" hidden="false" customHeight="true" outlineLevel="0" collapsed="false">
      <c r="A36" s="18"/>
      <c r="B36" s="12" t="s">
        <v>242</v>
      </c>
      <c r="C36" s="79"/>
      <c r="D36" s="54" t="s">
        <v>243</v>
      </c>
      <c r="E36" s="12" t="s">
        <v>244</v>
      </c>
      <c r="F36" s="82"/>
      <c r="G36" s="80"/>
      <c r="H36" s="81" t="s">
        <v>245</v>
      </c>
      <c r="I36" s="12" t="s">
        <v>246</v>
      </c>
      <c r="J36" s="123"/>
      <c r="K36" s="54"/>
      <c r="L36" s="12"/>
      <c r="M36" s="122"/>
    </row>
    <row r="37" customFormat="false" ht="15.75" hidden="false" customHeight="true" outlineLevel="0" collapsed="false">
      <c r="A37" s="18"/>
      <c r="B37" s="68"/>
      <c r="C37" s="69"/>
      <c r="D37" s="67" t="s">
        <v>247</v>
      </c>
      <c r="E37" s="124"/>
      <c r="F37" s="69"/>
      <c r="G37" s="77"/>
      <c r="H37" s="125" t="s">
        <v>248</v>
      </c>
      <c r="I37" s="103" t="s">
        <v>249</v>
      </c>
      <c r="J37" s="123"/>
      <c r="K37" s="67"/>
      <c r="L37" s="68"/>
      <c r="M37" s="122"/>
    </row>
    <row r="38" customFormat="false" ht="17.25" hidden="false" customHeight="true" outlineLevel="0" collapsed="false">
      <c r="A38" s="18"/>
      <c r="B38" s="62"/>
      <c r="C38" s="3"/>
      <c r="D38" s="61" t="s">
        <v>250</v>
      </c>
      <c r="E38" s="62" t="s">
        <v>251</v>
      </c>
      <c r="F38" s="3"/>
      <c r="G38" s="64"/>
      <c r="H38" s="126" t="s">
        <v>252</v>
      </c>
      <c r="I38" s="62" t="s">
        <v>253</v>
      </c>
      <c r="J38" s="3"/>
      <c r="K38" s="61"/>
      <c r="L38" s="62"/>
      <c r="M38" s="122"/>
    </row>
    <row r="39" customFormat="false" ht="17.25" hidden="false" customHeight="true" outlineLevel="0" collapsed="false">
      <c r="A39" s="18"/>
      <c r="B39" s="62" t="s">
        <v>254</v>
      </c>
      <c r="C39" s="3"/>
      <c r="D39" s="127" t="s">
        <v>255</v>
      </c>
      <c r="E39" s="62" t="s">
        <v>256</v>
      </c>
      <c r="F39" s="3" t="s">
        <v>257</v>
      </c>
      <c r="G39" s="64"/>
      <c r="H39" s="126" t="s">
        <v>258</v>
      </c>
      <c r="I39" s="62"/>
      <c r="J39" s="3"/>
      <c r="K39" s="61"/>
      <c r="L39" s="62"/>
      <c r="M39" s="122"/>
    </row>
    <row r="40" customFormat="false" ht="17.25" hidden="false" customHeight="true" outlineLevel="0" collapsed="false">
      <c r="A40" s="18"/>
      <c r="B40" s="62"/>
      <c r="C40" s="3"/>
      <c r="D40" s="127" t="s">
        <v>259</v>
      </c>
      <c r="E40" s="62" t="s">
        <v>260</v>
      </c>
      <c r="F40" s="3"/>
      <c r="G40" s="64"/>
      <c r="H40" s="126" t="s">
        <v>261</v>
      </c>
      <c r="I40" s="62"/>
      <c r="J40" s="3"/>
      <c r="K40" s="61"/>
      <c r="L40" s="62"/>
      <c r="M40" s="122"/>
    </row>
    <row r="41" customFormat="false" ht="17.25" hidden="false" customHeight="true" outlineLevel="0" collapsed="false">
      <c r="A41" s="18"/>
      <c r="B41" s="62"/>
      <c r="C41" s="3"/>
      <c r="D41" s="127" t="s">
        <v>262</v>
      </c>
      <c r="E41" s="62" t="s">
        <v>263</v>
      </c>
      <c r="F41" s="3"/>
      <c r="G41" s="64"/>
      <c r="H41" s="126" t="s">
        <v>264</v>
      </c>
      <c r="I41" s="62"/>
      <c r="J41" s="3"/>
      <c r="K41" s="61"/>
      <c r="L41" s="62"/>
      <c r="M41" s="122"/>
    </row>
    <row r="42" customFormat="false" ht="15.75" hidden="false" customHeight="true" outlineLevel="0" collapsed="false">
      <c r="A42" s="11"/>
      <c r="B42" s="62" t="s">
        <v>265</v>
      </c>
      <c r="C42" s="62"/>
      <c r="D42" s="62"/>
      <c r="E42" s="62"/>
      <c r="F42" s="62"/>
      <c r="G42" s="64"/>
      <c r="H42" s="75"/>
      <c r="I42" s="128"/>
      <c r="J42" s="66"/>
      <c r="K42" s="129" t="s">
        <v>266</v>
      </c>
      <c r="L42" s="62"/>
      <c r="M42" s="122" t="s">
        <v>267</v>
      </c>
    </row>
    <row r="43" customFormat="false" ht="15.75" hidden="false" customHeight="true" outlineLevel="0" collapsed="false">
      <c r="A43" s="11"/>
      <c r="B43" s="11" t="s">
        <v>268</v>
      </c>
      <c r="C43" s="108"/>
      <c r="D43" s="116"/>
      <c r="E43" s="11"/>
      <c r="F43" s="11"/>
      <c r="G43" s="108"/>
      <c r="H43" s="130"/>
      <c r="I43" s="44"/>
      <c r="J43" s="131"/>
      <c r="K43" s="132" t="s">
        <v>269</v>
      </c>
      <c r="L43" s="11"/>
      <c r="M43" s="122" t="s">
        <v>267</v>
      </c>
    </row>
    <row r="44" customFormat="false" ht="15.75" hidden="false" customHeight="true" outlineLevel="0" collapsed="false">
      <c r="A44" s="11"/>
      <c r="B44" s="11" t="s">
        <v>270</v>
      </c>
      <c r="C44" s="11"/>
      <c r="D44" s="11"/>
      <c r="E44" s="11"/>
      <c r="F44" s="11"/>
      <c r="G44" s="37"/>
      <c r="H44" s="133"/>
      <c r="I44" s="44"/>
      <c r="J44" s="131"/>
      <c r="K44" s="132" t="s">
        <v>271</v>
      </c>
      <c r="L44" s="11"/>
    </row>
    <row r="45" customFormat="false" ht="15.75" hidden="false" customHeight="true" outlineLevel="0" collapsed="false">
      <c r="A45" s="11"/>
      <c r="B45" s="11" t="s">
        <v>272</v>
      </c>
      <c r="C45" s="11"/>
      <c r="D45" s="11"/>
      <c r="E45" s="11"/>
      <c r="F45" s="11"/>
      <c r="G45" s="37"/>
      <c r="H45" s="133"/>
      <c r="I45" s="44"/>
      <c r="J45" s="131"/>
      <c r="K45" s="132" t="s">
        <v>273</v>
      </c>
      <c r="L45" s="11"/>
    </row>
    <row r="46" customFormat="false" ht="15.75" hidden="false" customHeight="true" outlineLevel="0" collapsed="false">
      <c r="A46" s="11"/>
      <c r="B46" s="11" t="s">
        <v>274</v>
      </c>
      <c r="C46" s="11"/>
      <c r="D46" s="11"/>
      <c r="E46" s="11"/>
      <c r="F46" s="11"/>
      <c r="G46" s="134" t="s">
        <v>274</v>
      </c>
      <c r="H46" s="133"/>
      <c r="I46" s="11"/>
      <c r="J46" s="135"/>
      <c r="K46" s="30"/>
      <c r="L46" s="11"/>
    </row>
    <row r="47" customFormat="false" ht="15.75" hidden="false" customHeight="true" outlineLevel="0" collapsed="false">
      <c r="A47" s="11"/>
      <c r="B47" s="11" t="s">
        <v>275</v>
      </c>
      <c r="C47" s="11"/>
      <c r="D47" s="11"/>
      <c r="E47" s="11"/>
      <c r="F47" s="11"/>
      <c r="G47" s="134" t="s">
        <v>276</v>
      </c>
      <c r="H47" s="133"/>
      <c r="I47" s="11"/>
      <c r="J47" s="135"/>
      <c r="K47" s="30"/>
      <c r="L47" s="11"/>
    </row>
    <row r="48" customFormat="false" ht="15.75" hidden="false" customHeight="true" outlineLevel="0" collapsed="false">
      <c r="A48" s="107"/>
      <c r="B48" s="77" t="s">
        <v>277</v>
      </c>
      <c r="C48" s="77"/>
      <c r="D48" s="136" t="s">
        <v>278</v>
      </c>
      <c r="E48" s="77" t="s">
        <v>279</v>
      </c>
      <c r="F48" s="77"/>
      <c r="G48" s="77"/>
      <c r="H48" s="67" t="s">
        <v>280</v>
      </c>
      <c r="I48" s="37" t="s">
        <v>281</v>
      </c>
      <c r="J48" s="120" t="s">
        <v>282</v>
      </c>
      <c r="K48" s="20"/>
      <c r="L48" s="77"/>
    </row>
    <row r="49" customFormat="false" ht="15.75" hidden="false" customHeight="true" outlineLevel="0" collapsed="false">
      <c r="A49" s="68"/>
      <c r="B49" s="68" t="s">
        <v>283</v>
      </c>
      <c r="C49" s="68"/>
      <c r="D49" s="77" t="s">
        <v>284</v>
      </c>
      <c r="E49" s="68"/>
      <c r="G49" s="68"/>
      <c r="H49" s="67" t="s">
        <v>285</v>
      </c>
      <c r="I49" s="11" t="s">
        <v>286</v>
      </c>
      <c r="J49" s="111" t="s">
        <v>68</v>
      </c>
      <c r="K49" s="28"/>
      <c r="L49" s="68"/>
    </row>
    <row r="50" customFormat="false" ht="15.75" hidden="false" customHeight="true" outlineLevel="0" collapsed="false">
      <c r="A50" s="68"/>
      <c r="B50" s="68"/>
      <c r="C50" s="68"/>
      <c r="D50" s="68" t="s">
        <v>287</v>
      </c>
      <c r="E50" s="68"/>
      <c r="F50" s="68"/>
      <c r="G50" s="68"/>
      <c r="H50" s="67" t="s">
        <v>288</v>
      </c>
      <c r="I50" s="11" t="s">
        <v>289</v>
      </c>
      <c r="J50" s="111" t="s">
        <v>290</v>
      </c>
      <c r="K50" s="28"/>
      <c r="L50" s="68"/>
    </row>
    <row r="51" customFormat="false" ht="15.75" hidden="false" customHeight="true" outlineLevel="0" collapsed="false">
      <c r="A51" s="67"/>
      <c r="B51" s="68"/>
      <c r="C51" s="28"/>
      <c r="D51" s="68" t="s">
        <v>291</v>
      </c>
      <c r="E51" s="67"/>
      <c r="F51" s="68"/>
      <c r="G51" s="68"/>
      <c r="H51" s="133"/>
      <c r="I51" s="11"/>
      <c r="J51" s="111"/>
      <c r="K51" s="28"/>
      <c r="L51" s="68"/>
    </row>
    <row r="52" customFormat="false" ht="15.75" hidden="false" customHeight="true" outlineLevel="0" collapsed="false">
      <c r="A52" s="137"/>
      <c r="B52" s="80" t="s">
        <v>292</v>
      </c>
      <c r="C52" s="138"/>
      <c r="D52" s="139"/>
      <c r="E52" s="137" t="s">
        <v>293</v>
      </c>
      <c r="F52" s="140"/>
      <c r="G52" s="12"/>
      <c r="H52" s="137" t="s">
        <v>294</v>
      </c>
      <c r="I52" s="37" t="s">
        <v>295</v>
      </c>
      <c r="J52" s="141" t="s">
        <v>296</v>
      </c>
      <c r="K52" s="138"/>
      <c r="L52" s="80"/>
    </row>
    <row r="53" customFormat="false" ht="15.75" hidden="false" customHeight="true" outlineLevel="0" collapsed="false">
      <c r="A53" s="75"/>
      <c r="B53" s="64" t="s">
        <v>297</v>
      </c>
      <c r="C53" s="142"/>
      <c r="D53" s="143" t="s">
        <v>298</v>
      </c>
      <c r="E53" s="143" t="s">
        <v>299</v>
      </c>
      <c r="F53" s="144"/>
      <c r="G53" s="142"/>
      <c r="H53" s="75"/>
      <c r="I53" s="37"/>
      <c r="J53" s="145" t="s">
        <v>300</v>
      </c>
      <c r="K53" s="142"/>
      <c r="L53" s="144"/>
    </row>
    <row r="54" customFormat="false" ht="15.75" hidden="false" customHeight="true" outlineLevel="0" collapsed="false">
      <c r="A54" s="77"/>
      <c r="B54" s="4" t="s">
        <v>301</v>
      </c>
      <c r="C54" s="124"/>
      <c r="E54" s="124"/>
      <c r="F54" s="124"/>
      <c r="G54" s="124"/>
      <c r="H54" s="146" t="s">
        <v>302</v>
      </c>
      <c r="I54" s="37" t="s">
        <v>303</v>
      </c>
      <c r="J54" s="147" t="s">
        <v>111</v>
      </c>
      <c r="K54" s="148"/>
      <c r="L54" s="77"/>
    </row>
    <row r="55" customFormat="false" ht="15.75" hidden="false" customHeight="true" outlineLevel="0" collapsed="false">
      <c r="A55" s="144"/>
      <c r="B55" s="149"/>
      <c r="C55" s="144"/>
      <c r="D55" s="149"/>
      <c r="E55" s="144"/>
      <c r="F55" s="144"/>
      <c r="G55" s="144"/>
      <c r="H55" s="143" t="s">
        <v>304</v>
      </c>
      <c r="I55" s="37" t="s">
        <v>305</v>
      </c>
      <c r="J55" s="150" t="s">
        <v>111</v>
      </c>
      <c r="K55" s="142"/>
      <c r="L55" s="144"/>
    </row>
    <row r="56" customFormat="false" ht="15.75" hidden="false" customHeight="true" outlineLevel="0" collapsed="false">
      <c r="A56" s="37"/>
      <c r="B56" s="108" t="s">
        <v>306</v>
      </c>
      <c r="C56" s="108"/>
      <c r="D56" s="108"/>
      <c r="E56" s="108"/>
      <c r="F56" s="108"/>
      <c r="G56" s="142"/>
      <c r="H56" s="149"/>
      <c r="I56" s="108"/>
      <c r="J56" s="151"/>
      <c r="K56" s="25"/>
      <c r="L56" s="108"/>
    </row>
    <row r="57" customFormat="false" ht="15.75" hidden="false" customHeight="true" outlineLevel="0" collapsed="false">
      <c r="A57" s="148"/>
      <c r="B57" s="152" t="s">
        <v>307</v>
      </c>
      <c r="C57" s="153"/>
      <c r="D57" s="148" t="s">
        <v>308</v>
      </c>
      <c r="E57" s="148" t="s">
        <v>309</v>
      </c>
      <c r="F57" s="148" t="s">
        <v>310</v>
      </c>
      <c r="G57" s="153"/>
      <c r="H57" s="148" t="s">
        <v>311</v>
      </c>
      <c r="I57" s="20" t="s">
        <v>295</v>
      </c>
      <c r="K57" s="148"/>
      <c r="L57" s="148"/>
    </row>
    <row r="58" customFormat="false" ht="15.75" hidden="false" customHeight="true" outlineLevel="0" collapsed="false">
      <c r="A58" s="148"/>
      <c r="B58" s="148"/>
      <c r="C58" s="148"/>
      <c r="D58" s="153"/>
      <c r="E58" s="153"/>
      <c r="F58" s="148"/>
      <c r="G58" s="148"/>
      <c r="H58" s="148" t="s">
        <v>312</v>
      </c>
      <c r="I58" s="148"/>
      <c r="J58" s="149"/>
      <c r="K58" s="148"/>
      <c r="L58" s="148"/>
    </row>
    <row r="59" customFormat="false" ht="15.75" hidden="false" customHeight="true" outlineLevel="0" collapsed="false">
      <c r="A59" s="142"/>
      <c r="B59" s="142"/>
      <c r="C59" s="142"/>
      <c r="D59" s="142"/>
      <c r="E59" s="142"/>
      <c r="F59" s="142"/>
      <c r="G59" s="142"/>
      <c r="H59" s="142"/>
      <c r="I59" s="142"/>
      <c r="J59" s="142"/>
      <c r="K59" s="142"/>
      <c r="L59" s="142"/>
      <c r="M59" s="148"/>
    </row>
    <row r="60" customFormat="false" ht="15.75" hidden="false" customHeight="true" outlineLevel="0" collapsed="false">
      <c r="A60" s="148"/>
      <c r="B60" s="148" t="s">
        <v>313</v>
      </c>
      <c r="C60" s="148"/>
      <c r="D60" s="154" t="s">
        <v>314</v>
      </c>
      <c r="E60" s="154" t="s">
        <v>293</v>
      </c>
      <c r="F60" s="148"/>
      <c r="G60" s="148"/>
      <c r="H60" s="154" t="s">
        <v>315</v>
      </c>
      <c r="I60" s="148"/>
      <c r="J60" s="148"/>
      <c r="K60" s="148"/>
      <c r="L60" s="148"/>
    </row>
    <row r="61" customFormat="false" ht="15.75" hidden="false" customHeight="true" outlineLevel="0" collapsed="false">
      <c r="A61" s="148"/>
      <c r="B61" s="148"/>
      <c r="C61" s="148"/>
      <c r="D61" s="155" t="s">
        <v>316</v>
      </c>
      <c r="E61" s="148"/>
      <c r="F61" s="148"/>
      <c r="G61" s="148"/>
      <c r="H61" s="155" t="s">
        <v>317</v>
      </c>
      <c r="I61" s="148"/>
      <c r="J61" s="148"/>
      <c r="K61" s="148"/>
      <c r="L61" s="148"/>
    </row>
    <row r="62" customFormat="false" ht="15.75" hidden="false" customHeight="true" outlineLevel="0" collapsed="false">
      <c r="A62" s="142"/>
      <c r="B62" s="142"/>
      <c r="C62" s="142"/>
      <c r="D62" s="155" t="s">
        <v>318</v>
      </c>
      <c r="E62" s="142"/>
      <c r="F62" s="142"/>
      <c r="G62" s="142"/>
      <c r="H62" s="155" t="s">
        <v>319</v>
      </c>
      <c r="I62" s="142"/>
      <c r="J62" s="142"/>
      <c r="K62" s="142"/>
      <c r="L62" s="142"/>
    </row>
    <row r="63" customFormat="false" ht="15.75" hidden="false" customHeight="true" outlineLevel="0" collapsed="false">
      <c r="A63" s="12"/>
      <c r="B63" s="12" t="s">
        <v>320</v>
      </c>
      <c r="C63" s="12"/>
      <c r="D63" s="12" t="s">
        <v>321</v>
      </c>
      <c r="E63" s="12" t="s">
        <v>322</v>
      </c>
      <c r="F63" s="12" t="s">
        <v>323</v>
      </c>
      <c r="G63" s="51"/>
      <c r="H63" s="12" t="s">
        <v>321</v>
      </c>
      <c r="I63" s="11"/>
      <c r="J63" s="53" t="s">
        <v>103</v>
      </c>
      <c r="K63" s="22"/>
      <c r="L63" s="12"/>
    </row>
    <row r="64" customFormat="false" ht="15.75" hidden="false" customHeight="true" outlineLevel="0" collapsed="false">
      <c r="A64" s="12"/>
      <c r="B64" s="12"/>
      <c r="C64" s="12"/>
      <c r="D64" s="12" t="s">
        <v>324</v>
      </c>
      <c r="E64" s="12"/>
      <c r="F64" s="12"/>
      <c r="G64" s="12"/>
      <c r="H64" s="12" t="s">
        <v>324</v>
      </c>
      <c r="I64" s="11"/>
      <c r="J64" s="53" t="s">
        <v>103</v>
      </c>
      <c r="K64" s="22"/>
      <c r="L64" s="12"/>
    </row>
    <row r="65" customFormat="false" ht="15.75" hidden="false" customHeight="true" outlineLevel="0" collapsed="false">
      <c r="A65" s="12"/>
      <c r="B65" s="12"/>
      <c r="C65" s="12"/>
      <c r="D65" s="12" t="s">
        <v>325</v>
      </c>
      <c r="E65" s="12"/>
      <c r="F65" s="12"/>
      <c r="G65" s="12"/>
      <c r="H65" s="12" t="s">
        <v>325</v>
      </c>
      <c r="I65" s="11"/>
      <c r="J65" s="53" t="s">
        <v>103</v>
      </c>
      <c r="K65" s="22"/>
      <c r="L65" s="12"/>
    </row>
    <row r="66" customFormat="false" ht="15.75" hidden="false" customHeight="true" outlineLevel="0" collapsed="false">
      <c r="A66" s="12"/>
      <c r="B66" s="12"/>
      <c r="C66" s="12"/>
      <c r="D66" s="12" t="s">
        <v>326</v>
      </c>
      <c r="E66" s="12"/>
      <c r="F66" s="12"/>
      <c r="G66" s="12"/>
      <c r="H66" s="12" t="s">
        <v>326</v>
      </c>
      <c r="I66" s="11"/>
      <c r="J66" s="53" t="s">
        <v>103</v>
      </c>
      <c r="K66" s="22"/>
      <c r="L66" s="12"/>
    </row>
    <row r="67" customFormat="false" ht="15.75" hidden="false" customHeight="true" outlineLevel="0" collapsed="false">
      <c r="A67" s="12"/>
      <c r="B67" s="12"/>
      <c r="C67" s="12"/>
      <c r="D67" s="12" t="s">
        <v>327</v>
      </c>
      <c r="E67" s="12"/>
      <c r="F67" s="12"/>
      <c r="G67" s="12"/>
      <c r="H67" s="12" t="s">
        <v>327</v>
      </c>
      <c r="I67" s="11"/>
      <c r="J67" s="53" t="s">
        <v>103</v>
      </c>
      <c r="K67" s="22"/>
      <c r="L67" s="12"/>
    </row>
    <row r="68" customFormat="false" ht="15.75" hidden="false" customHeight="true" outlineLevel="0" collapsed="false">
      <c r="A68" s="12"/>
      <c r="B68" s="12"/>
      <c r="C68" s="12"/>
      <c r="D68" s="12" t="s">
        <v>328</v>
      </c>
      <c r="E68" s="12"/>
      <c r="F68" s="12"/>
      <c r="G68" s="12"/>
      <c r="H68" s="12" t="s">
        <v>328</v>
      </c>
      <c r="I68" s="11"/>
      <c r="J68" s="53" t="s">
        <v>103</v>
      </c>
      <c r="K68" s="22"/>
      <c r="L68" s="12"/>
    </row>
    <row r="69" customFormat="false" ht="15.75" hidden="false" customHeight="true" outlineLevel="0" collapsed="false"/>
    <row r="70" customFormat="false" ht="15.75" hidden="false" customHeight="true" outlineLevel="0" collapsed="false">
      <c r="D70" s="0" t="s">
        <v>329</v>
      </c>
    </row>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sheetData>
  <autoFilter ref="A1:M62"/>
  <mergeCells count="7">
    <mergeCell ref="A63:A68"/>
    <mergeCell ref="B63:B68"/>
    <mergeCell ref="E63:E68"/>
    <mergeCell ref="F63:F68"/>
    <mergeCell ref="G63:G68"/>
    <mergeCell ref="I63:I68"/>
    <mergeCell ref="L63:L68"/>
  </mergeCell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Roman,標準"&amp;12&amp;A</oddHeader>
    <oddFooter>&amp;C&amp;"Times New Roman,標準"&amp;12ページ &amp;P</oddFooter>
  </headerFooter>
  <drawing r:id="rId1"/>
</worksheet>
</file>

<file path=docProps/app.xml><?xml version="1.0" encoding="utf-8"?>
<Properties xmlns="http://schemas.openxmlformats.org/officeDocument/2006/extended-properties" xmlns:vt="http://schemas.openxmlformats.org/officeDocument/2006/docPropsVTypes">
  <Template/>
  <TotalTime>39</TotalTime>
  <Application>LibreOffice/6.0.3.2$Windows_X86_64 LibreOffice_project/8f48d515416608e3a835360314dac7e47fd0b821</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description/>
  <dc:language>ja-JP</dc:language>
  <cp:lastModifiedBy/>
  <dcterms:modified xsi:type="dcterms:W3CDTF">2018-05-07T13:12:59Z</dcterms:modified>
  <cp:revision>7</cp:revision>
  <dc:subject/>
  <dc:title/>
</cp:coreProperties>
</file>